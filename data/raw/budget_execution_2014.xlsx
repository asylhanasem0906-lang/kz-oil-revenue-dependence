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ЭтаКнига" defaultThemeVersion="124226"/>
  <bookViews>
    <workbookView xWindow="120" yWindow="30" windowWidth="15180" windowHeight="10110"/>
  </bookViews>
  <sheets>
    <sheet name="Отчет" sheetId="1" r:id="rId1"/>
  </sheets>
  <definedNames>
    <definedName name="_xlnm.Print_Titles" localSheetId="0">Отчет!$7:$9</definedName>
  </definedNames>
  <calcPr calcId="125725"/>
</workbook>
</file>

<file path=xl/calcChain.xml><?xml version="1.0" encoding="utf-8"?>
<calcChain xmlns="http://schemas.openxmlformats.org/spreadsheetml/2006/main">
  <c r="M10" i="1"/>
  <c r="N10"/>
  <c r="M11"/>
  <c r="N11"/>
  <c r="M12"/>
  <c r="N12"/>
  <c r="M13"/>
  <c r="N13"/>
  <c r="M14"/>
  <c r="N14"/>
  <c r="M15"/>
  <c r="N15"/>
  <c r="M16"/>
  <c r="N16"/>
  <c r="M17"/>
  <c r="N17"/>
  <c r="M18"/>
  <c r="N18"/>
  <c r="K19"/>
  <c r="M19"/>
  <c r="N19"/>
  <c r="K20"/>
  <c r="M20"/>
  <c r="N20"/>
  <c r="K21"/>
  <c r="M21"/>
  <c r="N21"/>
  <c r="K22"/>
  <c r="M22"/>
  <c r="N22"/>
  <c r="K23"/>
  <c r="M23"/>
  <c r="N23"/>
  <c r="K24"/>
  <c r="M24"/>
  <c r="N24"/>
  <c r="K25"/>
  <c r="M25"/>
  <c r="N25"/>
  <c r="K26"/>
  <c r="M26"/>
  <c r="N26"/>
  <c r="K27"/>
  <c r="M27"/>
  <c r="N27"/>
  <c r="K28"/>
  <c r="M28"/>
  <c r="N28"/>
  <c r="K29"/>
  <c r="M29"/>
  <c r="N29"/>
  <c r="K30"/>
  <c r="M30"/>
  <c r="N30"/>
  <c r="K31"/>
  <c r="M31"/>
  <c r="N31"/>
  <c r="K32"/>
  <c r="M32"/>
  <c r="N32"/>
  <c r="K33"/>
  <c r="M33"/>
  <c r="N33"/>
  <c r="K35"/>
  <c r="M35"/>
  <c r="N35"/>
  <c r="K36"/>
  <c r="M36"/>
  <c r="N36"/>
  <c r="K37"/>
  <c r="M37"/>
  <c r="N37"/>
  <c r="K38"/>
  <c r="M38"/>
  <c r="N38"/>
  <c r="K39"/>
  <c r="M39"/>
  <c r="N39"/>
  <c r="M40"/>
  <c r="N40"/>
  <c r="M41"/>
  <c r="N41"/>
  <c r="K43"/>
  <c r="M43"/>
  <c r="N43"/>
  <c r="K44"/>
  <c r="M44"/>
  <c r="N44"/>
  <c r="K45"/>
  <c r="M45"/>
  <c r="N45"/>
  <c r="K46"/>
  <c r="M46"/>
  <c r="N46"/>
  <c r="K47"/>
  <c r="M47"/>
  <c r="N47"/>
  <c r="K48"/>
  <c r="M48"/>
  <c r="N48"/>
  <c r="K49"/>
  <c r="M49"/>
  <c r="N49"/>
  <c r="K50"/>
  <c r="M50"/>
  <c r="N50"/>
  <c r="K51"/>
  <c r="M51"/>
  <c r="N51"/>
  <c r="K52"/>
  <c r="M52"/>
  <c r="N52"/>
  <c r="K53"/>
  <c r="M53"/>
  <c r="N53"/>
  <c r="M54"/>
  <c r="N54"/>
  <c r="M55"/>
  <c r="N55"/>
  <c r="M58"/>
  <c r="N58"/>
  <c r="M59"/>
  <c r="N59"/>
  <c r="K60"/>
  <c r="M60"/>
  <c r="N60"/>
  <c r="K61"/>
  <c r="M61"/>
  <c r="N61"/>
</calcChain>
</file>

<file path=xl/sharedStrings.xml><?xml version="1.0" encoding="utf-8"?>
<sst xmlns="http://schemas.openxmlformats.org/spreadsheetml/2006/main" count="113" uniqueCount="85">
  <si>
    <t>Отчет об исполнении государственного бюджета</t>
  </si>
  <si>
    <t xml:space="preserve">за   2014 год  </t>
  </si>
  <si>
    <t xml:space="preserve">  </t>
  </si>
  <si>
    <t xml:space="preserve">Периодичность </t>
  </si>
  <si>
    <t xml:space="preserve">годовая </t>
  </si>
  <si>
    <t xml:space="preserve">Единица измерения </t>
  </si>
  <si>
    <t xml:space="preserve">тыс.тенге </t>
  </si>
  <si>
    <t xml:space="preserve">Коды бюджетной классификации </t>
  </si>
  <si>
    <t xml:space="preserve">Наименование </t>
  </si>
  <si>
    <t xml:space="preserve">Утвержденный бюджет на отчетный финансовый год </t>
  </si>
  <si>
    <t xml:space="preserve">Уточненный бюджет на отчетный финансовый год </t>
  </si>
  <si>
    <t xml:space="preserve">Скорректированный бюджет на отчетный финансовый год1 </t>
  </si>
  <si>
    <t xml:space="preserve">Сводный план поступлений и финансирования по платежам, сводный план финансирования по обязательствам на отчетный период </t>
  </si>
  <si>
    <t xml:space="preserve">Принятые обязательства </t>
  </si>
  <si>
    <t xml:space="preserve">Неоплаченные обязательства </t>
  </si>
  <si>
    <t xml:space="preserve">Исполнение поступлениий бюджета и/или оплаченных обязательств по бюджетным программам (подпрограммам) </t>
  </si>
  <si>
    <t xml:space="preserve">Исп-е поступ-ий бюджета и/или оплач. обяз-в по бюдж. прогр. (подпрогр.)  к свод. плану  поступ-ий и финанс-ия  на отчет. период, % </t>
  </si>
  <si>
    <t xml:space="preserve">Исп-е поступ-ий бюджета и/или оплач. обяз-ва по бюдж. прогр. (подпрогр.) к исполняемому бюджету, % </t>
  </si>
  <si>
    <t xml:space="preserve">по платежам </t>
  </si>
  <si>
    <t xml:space="preserve">по обязательствам </t>
  </si>
  <si>
    <t xml:space="preserve">1 </t>
  </si>
  <si>
    <t>I. ДОХОДЫ</t>
  </si>
  <si>
    <t>НАЛОГОВЫЕ ПОСТУПЛЕНИЯ</t>
  </si>
  <si>
    <t>1</t>
  </si>
  <si>
    <t>Налоговые поступления</t>
  </si>
  <si>
    <t>НЕНАЛОГОВЫЕ ПОСТУПЛЕНИЯ</t>
  </si>
  <si>
    <t>2</t>
  </si>
  <si>
    <t>Неналоговые поступления</t>
  </si>
  <si>
    <t>ПОСТУПЛЕНИЯ ОТ ПРОДАЖИ ОСНОВНОГО КАПИТАЛА</t>
  </si>
  <si>
    <t>3</t>
  </si>
  <si>
    <t>Поступления от продажи основного капитала</t>
  </si>
  <si>
    <t>ПОСТУПЛЕНИЯ ТРАНСФЕРТОВ</t>
  </si>
  <si>
    <t>4</t>
  </si>
  <si>
    <t>Поступления трансфертов</t>
  </si>
  <si>
    <t>II. ЗАТРАТЫ</t>
  </si>
  <si>
    <t>01</t>
  </si>
  <si>
    <t>Государственные услуги общего характера</t>
  </si>
  <si>
    <t>02</t>
  </si>
  <si>
    <t>Оборона</t>
  </si>
  <si>
    <t>03</t>
  </si>
  <si>
    <t>Общественный порядок, безопасность, правовая, судебная, уголовно-исполнительная деятельность</t>
  </si>
  <si>
    <t>04</t>
  </si>
  <si>
    <t>Образование</t>
  </si>
  <si>
    <t>05</t>
  </si>
  <si>
    <t>Здравоохранение</t>
  </si>
  <si>
    <t>06</t>
  </si>
  <si>
    <t>Социальная помощь и социальное обеспечение</t>
  </si>
  <si>
    <t>07</t>
  </si>
  <si>
    <t>Жилищно-коммунальное хозяйство</t>
  </si>
  <si>
    <t>08</t>
  </si>
  <si>
    <t>Культура, спорт, туризм и информационное пространство</t>
  </si>
  <si>
    <t>09</t>
  </si>
  <si>
    <t>Топливно-энергетический комплекс и недропользование</t>
  </si>
  <si>
    <t>10</t>
  </si>
  <si>
    <t>Сельское, водное, лесное, рыбное хозяйство, особо охраняемые природные территории, охрана окружающей среды и животного мира, земельные отношения</t>
  </si>
  <si>
    <t>11</t>
  </si>
  <si>
    <t>Промышленность, архитектурная, градостроительная и строительная деятельность</t>
  </si>
  <si>
    <t>12</t>
  </si>
  <si>
    <t>Транспорт и коммуникации</t>
  </si>
  <si>
    <t>13</t>
  </si>
  <si>
    <t>Прочие</t>
  </si>
  <si>
    <t>14</t>
  </si>
  <si>
    <t>Обслуживание долга</t>
  </si>
  <si>
    <t>III. ЧИСТОЕ БЮДЖЕТНОЕ КРЕДИТОВАНИЕ</t>
  </si>
  <si>
    <t>БЮДЖЕТНЫЕ КРЕДИТЫ</t>
  </si>
  <si>
    <t>ПОГАШЕНИЕ БЮДЖЕТНЫХ КРЕДИТОВ</t>
  </si>
  <si>
    <t>5</t>
  </si>
  <si>
    <t>Погашение бюджетных кредитов</t>
  </si>
  <si>
    <t>IV. САЛЬДО ПО ОПЕРАЦИЯМ С ФИНАНСОВЫМИ АКТИВАМИ</t>
  </si>
  <si>
    <t>ПРИОБРЕТЕНИЕ ФИНАНСОВЫХ АКТИВОВ</t>
  </si>
  <si>
    <t>ПОСТУПЛЕНИЯ ОТ ПРОДАЖИ ФИНАНСОВЫХ АКТИВОВ ГОСУДАРСТВА</t>
  </si>
  <si>
    <t>6</t>
  </si>
  <si>
    <t>Поступления от продажи финансовых активов государства</t>
  </si>
  <si>
    <t>V. ДЕФИЦИТ (ПРОФИЦИТ) БЮДЖЕТА</t>
  </si>
  <si>
    <t>VI. ФИНАНСИРОВАНИЕ ДЕФИЦИТА (ИСПОЛЬЗОВАНИЕ ПРОФИЦИТА) БЮДЖЕТА</t>
  </si>
  <si>
    <t>ПОСТУПЛЕНИЕ ЗАЙМОВ</t>
  </si>
  <si>
    <t>7</t>
  </si>
  <si>
    <t>Поступления займов</t>
  </si>
  <si>
    <t>ПОГАШЕНИЕ ЗАЙМОВ</t>
  </si>
  <si>
    <t>16</t>
  </si>
  <si>
    <t>Погашение займов</t>
  </si>
  <si>
    <t>ИСПОЛЬЗУЕМЫЕ ОСТАТКИ БЮДЖЕТНЫХ СРЕДСТВ</t>
  </si>
  <si>
    <t>Справочно:
Остатки бюджетных средств</t>
  </si>
  <si>
    <t>Остатки бюджетных средств на начало финансового года</t>
  </si>
  <si>
    <t>Остатки бюджетных средств на конец отчетного периода</t>
  </si>
</sst>
</file>

<file path=xl/styles.xml><?xml version="1.0" encoding="utf-8"?>
<styleSheet xmlns="http://schemas.openxmlformats.org/spreadsheetml/2006/main">
  <numFmts count="1">
    <numFmt numFmtId="164" formatCode="#,##0.0"/>
  </numFmts>
  <fonts count="12">
    <font>
      <sz val="10"/>
      <name val="Arial Cyr"/>
      <charset val="204"/>
    </font>
    <font>
      <sz val="12"/>
      <name val="Times New Roman"/>
      <family val="1"/>
      <charset val="204"/>
    </font>
    <font>
      <sz val="10"/>
      <name val="Times New Roman"/>
      <family val="1"/>
      <charset val="204"/>
    </font>
    <font>
      <sz val="8"/>
      <name val="Times New Roman"/>
      <family val="1"/>
      <charset val="204"/>
    </font>
    <font>
      <b/>
      <sz val="12"/>
      <name val="Times New Roman"/>
      <family val="1"/>
      <charset val="204"/>
    </font>
    <font>
      <i/>
      <sz val="8"/>
      <name val="Times New Roman"/>
      <family val="1"/>
      <charset val="204"/>
    </font>
    <font>
      <i/>
      <sz val="12"/>
      <name val="Times New Roman"/>
      <family val="1"/>
      <charset val="204"/>
    </font>
    <font>
      <b/>
      <i/>
      <sz val="10"/>
      <name val="Times New Roman"/>
      <family val="1"/>
      <charset val="204"/>
    </font>
    <font>
      <b/>
      <u/>
      <sz val="8"/>
      <name val="Times New Roman"/>
      <family val="1"/>
      <charset val="204"/>
    </font>
    <font>
      <sz val="7"/>
      <name val="Times New Roman"/>
      <family val="1"/>
      <charset val="204"/>
    </font>
    <font>
      <b/>
      <sz val="9"/>
      <name val="Times New Roman"/>
      <family val="1"/>
      <charset val="204"/>
    </font>
    <font>
      <b/>
      <sz val="8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49" fontId="1" fillId="0" borderId="0" xfId="0" applyNumberFormat="1" applyFont="1" applyAlignment="1">
      <alignment horizontal="centerContinuous" wrapText="1"/>
    </xf>
    <xf numFmtId="49" fontId="2" fillId="0" borderId="0" xfId="0" applyNumberFormat="1" applyFont="1" applyAlignment="1">
      <alignment horizontal="centerContinuous" wrapText="1"/>
    </xf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/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Continuous" wrapText="1"/>
    </xf>
    <xf numFmtId="0" fontId="1" fillId="0" borderId="0" xfId="0" applyFont="1" applyAlignment="1">
      <alignment horizontal="center"/>
    </xf>
    <xf numFmtId="49" fontId="5" fillId="0" borderId="0" xfId="0" applyNumberFormat="1" applyFont="1" applyAlignment="1"/>
    <xf numFmtId="0" fontId="6" fillId="0" borderId="0" xfId="0" applyFont="1" applyAlignment="1">
      <alignment horizontal="centerContinuous" wrapText="1"/>
    </xf>
    <xf numFmtId="0" fontId="2" fillId="0" borderId="0" xfId="0" applyFont="1" applyAlignment="1"/>
    <xf numFmtId="0" fontId="1" fillId="0" borderId="0" xfId="0" applyFont="1" applyAlignment="1"/>
    <xf numFmtId="49" fontId="7" fillId="0" borderId="0" xfId="0" applyNumberFormat="1" applyFont="1" applyAlignment="1">
      <alignment horizontal="centerContinuous" wrapText="1"/>
    </xf>
    <xf numFmtId="0" fontId="4" fillId="0" borderId="0" xfId="0" applyFont="1" applyAlignment="1">
      <alignment horizontal="centerContinuous" wrapText="1"/>
    </xf>
    <xf numFmtId="0" fontId="1" fillId="0" borderId="0" xfId="0" applyFont="1" applyAlignment="1">
      <alignment horizontal="centerContinuous" wrapText="1"/>
    </xf>
    <xf numFmtId="49" fontId="3" fillId="0" borderId="0" xfId="0" applyNumberFormat="1" applyFont="1"/>
    <xf numFmtId="0" fontId="8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9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10" fillId="0" borderId="0" xfId="0" applyNumberFormat="1" applyFont="1" applyAlignment="1">
      <alignment vertical="center"/>
    </xf>
    <xf numFmtId="0" fontId="10" fillId="0" borderId="0" xfId="0" applyFont="1" applyAlignment="1">
      <alignment vertical="center" wrapText="1"/>
    </xf>
    <xf numFmtId="164" fontId="10" fillId="0" borderId="0" xfId="0" applyNumberFormat="1" applyFont="1" applyAlignment="1">
      <alignment vertical="center"/>
    </xf>
    <xf numFmtId="164" fontId="10" fillId="0" borderId="0" xfId="0" applyNumberFormat="1" applyFont="1" applyAlignment="1">
      <alignment horizontal="center" vertical="center"/>
    </xf>
    <xf numFmtId="49" fontId="11" fillId="0" borderId="0" xfId="0" applyNumberFormat="1" applyFont="1" applyAlignment="1">
      <alignment vertical="center"/>
    </xf>
    <xf numFmtId="0" fontId="11" fillId="0" borderId="0" xfId="0" applyFont="1" applyAlignment="1">
      <alignment vertical="center" wrapText="1"/>
    </xf>
    <xf numFmtId="164" fontId="11" fillId="0" borderId="0" xfId="0" applyNumberFormat="1" applyFont="1" applyAlignment="1">
      <alignment vertical="center"/>
    </xf>
    <xf numFmtId="164" fontId="11" fillId="0" borderId="0" xfId="0" applyNumberFormat="1" applyFont="1" applyAlignment="1">
      <alignment horizontal="center" vertical="center"/>
    </xf>
    <xf numFmtId="49" fontId="5" fillId="0" borderId="0" xfId="0" applyNumberFormat="1" applyFont="1" applyAlignment="1">
      <alignment vertical="center"/>
    </xf>
    <xf numFmtId="0" fontId="5" fillId="0" borderId="0" xfId="0" applyFont="1" applyAlignment="1">
      <alignment vertical="center" wrapText="1"/>
    </xf>
    <xf numFmtId="164" fontId="5" fillId="0" borderId="0" xfId="0" applyNumberFormat="1" applyFont="1" applyAlignment="1">
      <alignment vertical="center"/>
    </xf>
    <xf numFmtId="164" fontId="5" fillId="0" borderId="0" xfId="0" applyNumberFormat="1" applyFont="1" applyAlignment="1">
      <alignment horizontal="center" vertical="center"/>
    </xf>
    <xf numFmtId="49" fontId="10" fillId="0" borderId="0" xfId="0" applyNumberFormat="1" applyFont="1" applyAlignment="1">
      <alignment horizontal="centerContinuous" vertical="center" wrapText="1"/>
    </xf>
    <xf numFmtId="49" fontId="3" fillId="0" borderId="0" xfId="0" applyNumberFormat="1" applyFont="1" applyAlignment="1">
      <alignment horizontal="centerContinuous" vertical="center"/>
    </xf>
    <xf numFmtId="0" fontId="3" fillId="0" borderId="0" xfId="0" applyFont="1" applyAlignment="1">
      <alignment horizontal="centerContinuous" vertical="center"/>
    </xf>
    <xf numFmtId="49" fontId="3" fillId="0" borderId="0" xfId="0" applyNumberFormat="1" applyFont="1" applyAlignment="1">
      <alignment vertical="center"/>
    </xf>
    <xf numFmtId="0" fontId="9" fillId="0" borderId="3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49" fontId="3" fillId="0" borderId="5" xfId="0" applyNumberFormat="1" applyFont="1" applyBorder="1" applyAlignment="1">
      <alignment horizontal="center" vertical="center"/>
    </xf>
    <xf numFmtId="49" fontId="3" fillId="0" borderId="6" xfId="0" applyNumberFormat="1" applyFont="1" applyBorder="1" applyAlignment="1">
      <alignment horizontal="center" vertical="center"/>
    </xf>
    <xf numFmtId="49" fontId="9" fillId="0" borderId="7" xfId="0" applyNumberFormat="1" applyFont="1" applyBorder="1" applyAlignment="1">
      <alignment horizontal="center" vertical="center" wrapText="1"/>
    </xf>
    <xf numFmtId="49" fontId="9" fillId="0" borderId="8" xfId="0" applyNumberFormat="1" applyFont="1" applyBorder="1" applyAlignment="1">
      <alignment horizontal="center" vertical="center" wrapText="1"/>
    </xf>
    <xf numFmtId="49" fontId="9" fillId="0" borderId="9" xfId="0" applyNumberFormat="1" applyFont="1" applyBorder="1" applyAlignment="1">
      <alignment horizontal="center" vertical="center" wrapText="1"/>
    </xf>
    <xf numFmtId="49" fontId="9" fillId="0" borderId="10" xfId="0" applyNumberFormat="1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Лист1">
    <pageSetUpPr fitToPage="1"/>
  </sheetPr>
  <dimension ref="A1:N69"/>
  <sheetViews>
    <sheetView tabSelected="1" zoomScaleNormal="100" workbookViewId="0">
      <selection activeCell="M3" sqref="M3"/>
    </sheetView>
  </sheetViews>
  <sheetFormatPr defaultRowHeight="11.25"/>
  <cols>
    <col min="1" max="3" width="4" style="39" customWidth="1"/>
    <col min="4" max="4" width="52.42578125" style="3" customWidth="1"/>
    <col min="5" max="8" width="13.85546875" style="3" customWidth="1"/>
    <col min="9" max="9" width="12.28515625" style="3" customWidth="1"/>
    <col min="10" max="10" width="12.42578125" style="3" customWidth="1"/>
    <col min="11" max="11" width="12" style="3" customWidth="1"/>
    <col min="12" max="12" width="13.85546875" style="3" customWidth="1"/>
    <col min="13" max="14" width="11.28515625" style="3" customWidth="1"/>
    <col min="15" max="16384" width="9.140625" style="3"/>
  </cols>
  <sheetData>
    <row r="1" spans="1:14" s="5" customFormat="1" ht="15.75">
      <c r="A1" s="1"/>
      <c r="B1" s="2"/>
      <c r="C1" s="2"/>
      <c r="D1" s="3"/>
      <c r="E1" s="4"/>
      <c r="G1" s="6" t="s">
        <v>0</v>
      </c>
      <c r="H1" s="7"/>
      <c r="L1" s="8"/>
    </row>
    <row r="2" spans="1:14" s="5" customFormat="1" ht="15.75">
      <c r="A2" s="9"/>
      <c r="B2" s="2"/>
      <c r="C2" s="2"/>
      <c r="D2" s="6"/>
      <c r="E2" s="6"/>
      <c r="F2" s="10"/>
      <c r="G2" s="6" t="s">
        <v>1</v>
      </c>
      <c r="H2" s="7"/>
      <c r="I2" s="11"/>
      <c r="K2" s="11"/>
      <c r="L2" s="12"/>
    </row>
    <row r="3" spans="1:14" s="5" customFormat="1" ht="15.75">
      <c r="A3" s="13"/>
      <c r="B3" s="2"/>
      <c r="C3" s="2"/>
      <c r="D3" s="7"/>
      <c r="E3" s="7"/>
      <c r="F3" s="14"/>
      <c r="G3" s="7"/>
      <c r="H3" s="7"/>
      <c r="I3" s="7"/>
      <c r="J3" s="7"/>
      <c r="K3" s="7"/>
      <c r="L3" s="15"/>
      <c r="M3" s="7"/>
      <c r="N3" s="7"/>
    </row>
    <row r="4" spans="1:14" s="5" customFormat="1" ht="15.75">
      <c r="A4" s="13" t="s">
        <v>2</v>
      </c>
      <c r="B4" s="2"/>
      <c r="C4" s="2"/>
      <c r="D4" s="7"/>
      <c r="E4" s="7"/>
      <c r="F4" s="14"/>
      <c r="G4" s="7"/>
      <c r="H4" s="7"/>
      <c r="I4" s="7"/>
      <c r="J4" s="7"/>
      <c r="K4" s="7"/>
      <c r="L4" s="15"/>
      <c r="M4" s="7"/>
      <c r="N4" s="7"/>
    </row>
    <row r="5" spans="1:14" s="18" customFormat="1">
      <c r="A5" s="16" t="s">
        <v>3</v>
      </c>
      <c r="B5" s="16"/>
      <c r="C5" s="16"/>
      <c r="D5" s="17" t="s">
        <v>4</v>
      </c>
      <c r="L5" s="19"/>
    </row>
    <row r="6" spans="1:14">
      <c r="A6" s="16" t="s">
        <v>5</v>
      </c>
      <c r="B6" s="16"/>
      <c r="C6" s="16"/>
      <c r="D6" s="17" t="s">
        <v>6</v>
      </c>
      <c r="E6" s="18"/>
      <c r="F6" s="18"/>
    </row>
    <row r="7" spans="1:14" s="20" customFormat="1" ht="42.75" customHeight="1">
      <c r="A7" s="45" t="s">
        <v>7</v>
      </c>
      <c r="B7" s="46"/>
      <c r="C7" s="46"/>
      <c r="D7" s="40" t="s">
        <v>8</v>
      </c>
      <c r="E7" s="40" t="s">
        <v>9</v>
      </c>
      <c r="F7" s="40" t="s">
        <v>10</v>
      </c>
      <c r="G7" s="40" t="s">
        <v>11</v>
      </c>
      <c r="H7" s="49" t="s">
        <v>12</v>
      </c>
      <c r="I7" s="50"/>
      <c r="J7" s="40" t="s">
        <v>13</v>
      </c>
      <c r="K7" s="40" t="s">
        <v>14</v>
      </c>
      <c r="L7" s="40" t="s">
        <v>15</v>
      </c>
      <c r="M7" s="40" t="s">
        <v>16</v>
      </c>
      <c r="N7" s="42" t="s">
        <v>17</v>
      </c>
    </row>
    <row r="8" spans="1:14" s="20" customFormat="1" ht="58.5" customHeight="1">
      <c r="A8" s="47"/>
      <c r="B8" s="48"/>
      <c r="C8" s="48"/>
      <c r="D8" s="41"/>
      <c r="E8" s="41"/>
      <c r="F8" s="41"/>
      <c r="G8" s="41"/>
      <c r="H8" s="21" t="s">
        <v>18</v>
      </c>
      <c r="I8" s="21" t="s">
        <v>19</v>
      </c>
      <c r="J8" s="41"/>
      <c r="K8" s="41"/>
      <c r="L8" s="41"/>
      <c r="M8" s="41"/>
      <c r="N8" s="42"/>
    </row>
    <row r="9" spans="1:14" ht="11.25" customHeight="1">
      <c r="A9" s="43" t="s">
        <v>20</v>
      </c>
      <c r="B9" s="44"/>
      <c r="C9" s="44"/>
      <c r="D9" s="22">
        <v>2</v>
      </c>
      <c r="E9" s="23">
        <v>3</v>
      </c>
      <c r="F9" s="23">
        <v>4</v>
      </c>
      <c r="G9" s="23">
        <v>5</v>
      </c>
      <c r="H9" s="23">
        <v>6</v>
      </c>
      <c r="I9" s="23">
        <v>7</v>
      </c>
      <c r="J9" s="23">
        <v>8</v>
      </c>
      <c r="K9" s="23">
        <v>9</v>
      </c>
      <c r="L9" s="23">
        <v>10</v>
      </c>
      <c r="M9" s="23">
        <v>11</v>
      </c>
      <c r="N9" s="23">
        <v>12</v>
      </c>
    </row>
    <row r="10" spans="1:14" ht="12">
      <c r="A10" s="24"/>
      <c r="B10" s="24"/>
      <c r="C10" s="24"/>
      <c r="D10" s="25" t="s">
        <v>21</v>
      </c>
      <c r="E10" s="26">
        <v>6909306068</v>
      </c>
      <c r="F10" s="26">
        <v>7370904876.3999996</v>
      </c>
      <c r="G10" s="26">
        <v>7287028222</v>
      </c>
      <c r="H10" s="26">
        <v>7287028222</v>
      </c>
      <c r="I10" s="26"/>
      <c r="J10" s="26"/>
      <c r="K10" s="26"/>
      <c r="L10" s="26">
        <v>7321276656.6415997</v>
      </c>
      <c r="M10" s="27">
        <f t="shared" ref="M10:M33" si="0">IF(H10=0,0,L10/H10*100)</f>
        <v>100.46999179361214</v>
      </c>
      <c r="N10" s="27">
        <f t="shared" ref="N10:N33" si="1">IF(G10=0,0,L10/G10*100)</f>
        <v>100.46999179361214</v>
      </c>
    </row>
    <row r="11" spans="1:14">
      <c r="A11" s="28"/>
      <c r="B11" s="28"/>
      <c r="C11" s="28"/>
      <c r="D11" s="29" t="s">
        <v>22</v>
      </c>
      <c r="E11" s="30">
        <v>5243293757</v>
      </c>
      <c r="F11" s="30">
        <v>5205774008.8999996</v>
      </c>
      <c r="G11" s="30">
        <v>5122307481.8999996</v>
      </c>
      <c r="H11" s="30">
        <v>5122307481.8999996</v>
      </c>
      <c r="I11" s="30"/>
      <c r="J11" s="30"/>
      <c r="K11" s="30"/>
      <c r="L11" s="30">
        <v>5115743458.5165005</v>
      </c>
      <c r="M11" s="31">
        <f t="shared" si="0"/>
        <v>99.871854171060733</v>
      </c>
      <c r="N11" s="31">
        <f t="shared" si="1"/>
        <v>99.871854171060733</v>
      </c>
    </row>
    <row r="12" spans="1:14">
      <c r="A12" s="32" t="s">
        <v>23</v>
      </c>
      <c r="B12" s="32"/>
      <c r="C12" s="32"/>
      <c r="D12" s="33" t="s">
        <v>24</v>
      </c>
      <c r="E12" s="34">
        <v>5243293757</v>
      </c>
      <c r="F12" s="34">
        <v>5205774008.8999996</v>
      </c>
      <c r="G12" s="34">
        <v>5122307481.8999996</v>
      </c>
      <c r="H12" s="34">
        <v>5122307481.8999996</v>
      </c>
      <c r="I12" s="34"/>
      <c r="J12" s="34"/>
      <c r="K12" s="34"/>
      <c r="L12" s="34">
        <v>5115743458.5164003</v>
      </c>
      <c r="M12" s="35">
        <f t="shared" si="0"/>
        <v>99.871854171058771</v>
      </c>
      <c r="N12" s="35">
        <f t="shared" si="1"/>
        <v>99.871854171058771</v>
      </c>
    </row>
    <row r="13" spans="1:14">
      <c r="A13" s="28"/>
      <c r="B13" s="28"/>
      <c r="C13" s="28"/>
      <c r="D13" s="29" t="s">
        <v>25</v>
      </c>
      <c r="E13" s="30">
        <v>88230315</v>
      </c>
      <c r="F13" s="30">
        <v>155099050</v>
      </c>
      <c r="G13" s="30">
        <v>154696868.59999999</v>
      </c>
      <c r="H13" s="30">
        <v>154696868.59999999</v>
      </c>
      <c r="I13" s="30"/>
      <c r="J13" s="30"/>
      <c r="K13" s="30"/>
      <c r="L13" s="30">
        <v>179487786.68180001</v>
      </c>
      <c r="M13" s="31">
        <f t="shared" si="0"/>
        <v>116.02548151501497</v>
      </c>
      <c r="N13" s="31">
        <f t="shared" si="1"/>
        <v>116.02548151501497</v>
      </c>
    </row>
    <row r="14" spans="1:14">
      <c r="A14" s="32" t="s">
        <v>26</v>
      </c>
      <c r="B14" s="32"/>
      <c r="C14" s="32"/>
      <c r="D14" s="33" t="s">
        <v>27</v>
      </c>
      <c r="E14" s="34">
        <v>88230315</v>
      </c>
      <c r="F14" s="34">
        <v>155099050</v>
      </c>
      <c r="G14" s="34">
        <v>154696868.59999999</v>
      </c>
      <c r="H14" s="34">
        <v>154696868.59999999</v>
      </c>
      <c r="I14" s="34"/>
      <c r="J14" s="34"/>
      <c r="K14" s="34"/>
      <c r="L14" s="34">
        <v>179487786.68169999</v>
      </c>
      <c r="M14" s="35">
        <f t="shared" si="0"/>
        <v>116.02548151495033</v>
      </c>
      <c r="N14" s="35">
        <f t="shared" si="1"/>
        <v>116.02548151495033</v>
      </c>
    </row>
    <row r="15" spans="1:14">
      <c r="A15" s="28"/>
      <c r="B15" s="28"/>
      <c r="C15" s="28"/>
      <c r="D15" s="29" t="s">
        <v>28</v>
      </c>
      <c r="E15" s="30">
        <v>47781996</v>
      </c>
      <c r="F15" s="30">
        <v>55031817.5</v>
      </c>
      <c r="G15" s="30">
        <v>55023871.5</v>
      </c>
      <c r="H15" s="30">
        <v>55023871.5</v>
      </c>
      <c r="I15" s="30"/>
      <c r="J15" s="30"/>
      <c r="K15" s="30"/>
      <c r="L15" s="30">
        <v>71045411.443299994</v>
      </c>
      <c r="M15" s="31">
        <f t="shared" si="0"/>
        <v>129.11743486333927</v>
      </c>
      <c r="N15" s="31">
        <f t="shared" si="1"/>
        <v>129.11743486333927</v>
      </c>
    </row>
    <row r="16" spans="1:14">
      <c r="A16" s="32" t="s">
        <v>29</v>
      </c>
      <c r="B16" s="32"/>
      <c r="C16" s="32"/>
      <c r="D16" s="33" t="s">
        <v>30</v>
      </c>
      <c r="E16" s="34">
        <v>47781996</v>
      </c>
      <c r="F16" s="34">
        <v>55031817.5</v>
      </c>
      <c r="G16" s="34">
        <v>55023871.5</v>
      </c>
      <c r="H16" s="34">
        <v>55023871.5</v>
      </c>
      <c r="I16" s="34"/>
      <c r="J16" s="34"/>
      <c r="K16" s="34"/>
      <c r="L16" s="34">
        <v>71045411.443299994</v>
      </c>
      <c r="M16" s="35">
        <f t="shared" si="0"/>
        <v>129.11743486333927</v>
      </c>
      <c r="N16" s="35">
        <f t="shared" si="1"/>
        <v>129.11743486333927</v>
      </c>
    </row>
    <row r="17" spans="1:14">
      <c r="A17" s="28"/>
      <c r="B17" s="28"/>
      <c r="C17" s="28"/>
      <c r="D17" s="29" t="s">
        <v>31</v>
      </c>
      <c r="E17" s="30">
        <v>1530000000</v>
      </c>
      <c r="F17" s="30">
        <v>1955000000</v>
      </c>
      <c r="G17" s="30">
        <v>1955000000</v>
      </c>
      <c r="H17" s="30">
        <v>1955000000</v>
      </c>
      <c r="I17" s="30"/>
      <c r="J17" s="30"/>
      <c r="K17" s="30"/>
      <c r="L17" s="30">
        <v>1955000000</v>
      </c>
      <c r="M17" s="31">
        <f t="shared" si="0"/>
        <v>100</v>
      </c>
      <c r="N17" s="31">
        <f t="shared" si="1"/>
        <v>100</v>
      </c>
    </row>
    <row r="18" spans="1:14">
      <c r="A18" s="32" t="s">
        <v>32</v>
      </c>
      <c r="B18" s="32"/>
      <c r="C18" s="32"/>
      <c r="D18" s="33" t="s">
        <v>33</v>
      </c>
      <c r="E18" s="34">
        <v>1530000000</v>
      </c>
      <c r="F18" s="34">
        <v>1955000000</v>
      </c>
      <c r="G18" s="34">
        <v>1955000000</v>
      </c>
      <c r="H18" s="34">
        <v>1955000000</v>
      </c>
      <c r="I18" s="34"/>
      <c r="J18" s="34"/>
      <c r="K18" s="34"/>
      <c r="L18" s="34">
        <v>1955000000</v>
      </c>
      <c r="M18" s="35">
        <f t="shared" si="0"/>
        <v>100</v>
      </c>
      <c r="N18" s="35">
        <f t="shared" si="1"/>
        <v>100</v>
      </c>
    </row>
    <row r="19" spans="1:14" ht="12">
      <c r="A19" s="24"/>
      <c r="B19" s="24"/>
      <c r="C19" s="24"/>
      <c r="D19" s="25" t="s">
        <v>34</v>
      </c>
      <c r="E19" s="26">
        <v>7412199115</v>
      </c>
      <c r="F19" s="26">
        <v>7927929523.3999996</v>
      </c>
      <c r="G19" s="26">
        <v>7837008836.3999996</v>
      </c>
      <c r="H19" s="26">
        <v>7837008836.3999996</v>
      </c>
      <c r="I19" s="26">
        <v>7837008836.3999996</v>
      </c>
      <c r="J19" s="26">
        <v>7803048421.2556</v>
      </c>
      <c r="K19" s="26">
        <f t="shared" ref="K19:K33" si="2">J19-L19</f>
        <v>11180923.895799637</v>
      </c>
      <c r="L19" s="26">
        <v>7791867497.3598003</v>
      </c>
      <c r="M19" s="27">
        <f t="shared" si="0"/>
        <v>99.42399785450624</v>
      </c>
      <c r="N19" s="27">
        <f t="shared" si="1"/>
        <v>99.42399785450624</v>
      </c>
    </row>
    <row r="20" spans="1:14">
      <c r="A20" s="32" t="s">
        <v>35</v>
      </c>
      <c r="B20" s="32"/>
      <c r="C20" s="32"/>
      <c r="D20" s="33" t="s">
        <v>36</v>
      </c>
      <c r="E20" s="34">
        <v>424930386</v>
      </c>
      <c r="F20" s="34">
        <v>470301159.39999998</v>
      </c>
      <c r="G20" s="34">
        <v>488523704.5</v>
      </c>
      <c r="H20" s="34">
        <v>488523704.5</v>
      </c>
      <c r="I20" s="34">
        <v>488523704.5</v>
      </c>
      <c r="J20" s="34">
        <v>484513837.99599999</v>
      </c>
      <c r="K20" s="34">
        <f t="shared" si="2"/>
        <v>850972.56620001793</v>
      </c>
      <c r="L20" s="34">
        <v>483662865.42979997</v>
      </c>
      <c r="M20" s="35">
        <f t="shared" si="0"/>
        <v>99.004994225372329</v>
      </c>
      <c r="N20" s="35">
        <f t="shared" si="1"/>
        <v>99.004994225372329</v>
      </c>
    </row>
    <row r="21" spans="1:14">
      <c r="A21" s="32" t="s">
        <v>37</v>
      </c>
      <c r="B21" s="32"/>
      <c r="C21" s="32"/>
      <c r="D21" s="33" t="s">
        <v>38</v>
      </c>
      <c r="E21" s="34">
        <v>446800944</v>
      </c>
      <c r="F21" s="34">
        <v>434773444.69999999</v>
      </c>
      <c r="G21" s="34">
        <v>432391971.19999999</v>
      </c>
      <c r="H21" s="34">
        <v>432391971.19999999</v>
      </c>
      <c r="I21" s="34">
        <v>432391971.19999999</v>
      </c>
      <c r="J21" s="34">
        <v>431968786.89060003</v>
      </c>
      <c r="K21" s="34">
        <f t="shared" si="2"/>
        <v>304351.98030000925</v>
      </c>
      <c r="L21" s="34">
        <v>431664434.91030002</v>
      </c>
      <c r="M21" s="35">
        <f t="shared" si="0"/>
        <v>99.831741489630147</v>
      </c>
      <c r="N21" s="35">
        <f t="shared" si="1"/>
        <v>99.831741489630147</v>
      </c>
    </row>
    <row r="22" spans="1:14" ht="22.5">
      <c r="A22" s="32" t="s">
        <v>39</v>
      </c>
      <c r="B22" s="32"/>
      <c r="C22" s="32"/>
      <c r="D22" s="33" t="s">
        <v>40</v>
      </c>
      <c r="E22" s="34">
        <v>606172691</v>
      </c>
      <c r="F22" s="34">
        <v>604708389.29999995</v>
      </c>
      <c r="G22" s="34">
        <v>601634843.20000005</v>
      </c>
      <c r="H22" s="34">
        <v>601634843.20000005</v>
      </c>
      <c r="I22" s="34">
        <v>601634843.20000005</v>
      </c>
      <c r="J22" s="34">
        <v>601421885.08399999</v>
      </c>
      <c r="K22" s="34">
        <f t="shared" si="2"/>
        <v>374030.14740002155</v>
      </c>
      <c r="L22" s="34">
        <v>601047854.93659997</v>
      </c>
      <c r="M22" s="35">
        <f t="shared" si="0"/>
        <v>99.902434463356883</v>
      </c>
      <c r="N22" s="35">
        <f t="shared" si="1"/>
        <v>99.902434463356883</v>
      </c>
    </row>
    <row r="23" spans="1:14">
      <c r="A23" s="32" t="s">
        <v>41</v>
      </c>
      <c r="B23" s="32"/>
      <c r="C23" s="32"/>
      <c r="D23" s="33" t="s">
        <v>42</v>
      </c>
      <c r="E23" s="34">
        <v>1281541609</v>
      </c>
      <c r="F23" s="34">
        <v>1358793367.5999999</v>
      </c>
      <c r="G23" s="34">
        <v>1361438556.5999999</v>
      </c>
      <c r="H23" s="34">
        <v>1361438556.5999999</v>
      </c>
      <c r="I23" s="34">
        <v>1361438556.5999999</v>
      </c>
      <c r="J23" s="34">
        <v>1359878752.6138</v>
      </c>
      <c r="K23" s="34">
        <f t="shared" si="2"/>
        <v>1209587.9258000851</v>
      </c>
      <c r="L23" s="34">
        <v>1358669164.688</v>
      </c>
      <c r="M23" s="35">
        <f t="shared" si="0"/>
        <v>99.796583408147626</v>
      </c>
      <c r="N23" s="35">
        <f t="shared" si="1"/>
        <v>99.796583408147626</v>
      </c>
    </row>
    <row r="24" spans="1:14">
      <c r="A24" s="32" t="s">
        <v>43</v>
      </c>
      <c r="B24" s="32"/>
      <c r="C24" s="32"/>
      <c r="D24" s="33" t="s">
        <v>44</v>
      </c>
      <c r="E24" s="34">
        <v>777306504</v>
      </c>
      <c r="F24" s="34">
        <v>861063411.89999998</v>
      </c>
      <c r="G24" s="34">
        <v>863066336.60000002</v>
      </c>
      <c r="H24" s="34">
        <v>863066336.60000002</v>
      </c>
      <c r="I24" s="34">
        <v>863066336.60000002</v>
      </c>
      <c r="J24" s="34">
        <v>857578577.66939998</v>
      </c>
      <c r="K24" s="34">
        <f t="shared" si="2"/>
        <v>1356977.7664999962</v>
      </c>
      <c r="L24" s="34">
        <v>856221599.90289998</v>
      </c>
      <c r="M24" s="35">
        <f t="shared" si="0"/>
        <v>99.206928088046581</v>
      </c>
      <c r="N24" s="35">
        <f t="shared" si="1"/>
        <v>99.206928088046581</v>
      </c>
    </row>
    <row r="25" spans="1:14">
      <c r="A25" s="32" t="s">
        <v>45</v>
      </c>
      <c r="B25" s="32"/>
      <c r="C25" s="32"/>
      <c r="D25" s="33" t="s">
        <v>46</v>
      </c>
      <c r="E25" s="34">
        <v>1571668120</v>
      </c>
      <c r="F25" s="34">
        <v>1613340344.2</v>
      </c>
      <c r="G25" s="34">
        <v>1549046666.2</v>
      </c>
      <c r="H25" s="34">
        <v>1549046666.2</v>
      </c>
      <c r="I25" s="34">
        <v>1549046666.2</v>
      </c>
      <c r="J25" s="34">
        <v>1548736358.0771</v>
      </c>
      <c r="K25" s="34">
        <f t="shared" si="2"/>
        <v>98747.14560008049</v>
      </c>
      <c r="L25" s="34">
        <v>1548637610.9315</v>
      </c>
      <c r="M25" s="35">
        <f t="shared" si="0"/>
        <v>99.973593095842389</v>
      </c>
      <c r="N25" s="35">
        <f t="shared" si="1"/>
        <v>99.973593095842389</v>
      </c>
    </row>
    <row r="26" spans="1:14">
      <c r="A26" s="32" t="s">
        <v>47</v>
      </c>
      <c r="B26" s="32"/>
      <c r="C26" s="32"/>
      <c r="D26" s="33" t="s">
        <v>48</v>
      </c>
      <c r="E26" s="34">
        <v>416436612</v>
      </c>
      <c r="F26" s="34">
        <v>524378304.39999998</v>
      </c>
      <c r="G26" s="34">
        <v>558942229.79999995</v>
      </c>
      <c r="H26" s="34">
        <v>558942229.79999995</v>
      </c>
      <c r="I26" s="34">
        <v>558942229.79999995</v>
      </c>
      <c r="J26" s="34">
        <v>557083062.86150002</v>
      </c>
      <c r="K26" s="34">
        <f t="shared" si="2"/>
        <v>2387021.3128000498</v>
      </c>
      <c r="L26" s="34">
        <v>554696041.54869998</v>
      </c>
      <c r="M26" s="35">
        <f t="shared" si="0"/>
        <v>99.240317151770881</v>
      </c>
      <c r="N26" s="35">
        <f t="shared" si="1"/>
        <v>99.240317151770881</v>
      </c>
    </row>
    <row r="27" spans="1:14">
      <c r="A27" s="32" t="s">
        <v>49</v>
      </c>
      <c r="B27" s="32"/>
      <c r="C27" s="32"/>
      <c r="D27" s="33" t="s">
        <v>50</v>
      </c>
      <c r="E27" s="34">
        <v>275831346</v>
      </c>
      <c r="F27" s="34">
        <v>301947210.30000001</v>
      </c>
      <c r="G27" s="34">
        <v>300227836.89999998</v>
      </c>
      <c r="H27" s="34">
        <v>300227836.89999998</v>
      </c>
      <c r="I27" s="34">
        <v>300227836.89999998</v>
      </c>
      <c r="J27" s="34">
        <v>298673933.47409999</v>
      </c>
      <c r="K27" s="34">
        <f t="shared" si="2"/>
        <v>878584.74629998207</v>
      </c>
      <c r="L27" s="34">
        <v>297795348.72780001</v>
      </c>
      <c r="M27" s="35">
        <f t="shared" si="0"/>
        <v>99.189785931472372</v>
      </c>
      <c r="N27" s="35">
        <f t="shared" si="1"/>
        <v>99.189785931472372</v>
      </c>
    </row>
    <row r="28" spans="1:14">
      <c r="A28" s="32" t="s">
        <v>51</v>
      </c>
      <c r="B28" s="32"/>
      <c r="C28" s="32"/>
      <c r="D28" s="33" t="s">
        <v>52</v>
      </c>
      <c r="E28" s="34">
        <v>120242192</v>
      </c>
      <c r="F28" s="34">
        <v>130166869.8</v>
      </c>
      <c r="G28" s="34">
        <v>129266636.2</v>
      </c>
      <c r="H28" s="34">
        <v>129266636.2</v>
      </c>
      <c r="I28" s="34">
        <v>129266636.2</v>
      </c>
      <c r="J28" s="34">
        <v>128991421.77779999</v>
      </c>
      <c r="K28" s="34">
        <f t="shared" si="2"/>
        <v>335594.19889999926</v>
      </c>
      <c r="L28" s="34">
        <v>128655827.57889999</v>
      </c>
      <c r="M28" s="35">
        <f t="shared" si="0"/>
        <v>99.527481615476574</v>
      </c>
      <c r="N28" s="35">
        <f t="shared" si="1"/>
        <v>99.527481615476574</v>
      </c>
    </row>
    <row r="29" spans="1:14" ht="33.75">
      <c r="A29" s="32" t="s">
        <v>53</v>
      </c>
      <c r="B29" s="32"/>
      <c r="C29" s="32"/>
      <c r="D29" s="33" t="s">
        <v>54</v>
      </c>
      <c r="E29" s="34">
        <v>334262175</v>
      </c>
      <c r="F29" s="34">
        <v>351210000.5</v>
      </c>
      <c r="G29" s="34">
        <v>353364822.10000002</v>
      </c>
      <c r="H29" s="34">
        <v>353364822.10000002</v>
      </c>
      <c r="I29" s="34">
        <v>353364822.10000002</v>
      </c>
      <c r="J29" s="34">
        <v>349335609.65219998</v>
      </c>
      <c r="K29" s="34">
        <f t="shared" si="2"/>
        <v>256151.73350000381</v>
      </c>
      <c r="L29" s="34">
        <v>349079457.91869998</v>
      </c>
      <c r="M29" s="35">
        <f t="shared" si="0"/>
        <v>98.787269158307083</v>
      </c>
      <c r="N29" s="35">
        <f t="shared" si="1"/>
        <v>98.787269158307083</v>
      </c>
    </row>
    <row r="30" spans="1:14" ht="22.5">
      <c r="A30" s="32" t="s">
        <v>55</v>
      </c>
      <c r="B30" s="32"/>
      <c r="C30" s="32"/>
      <c r="D30" s="33" t="s">
        <v>56</v>
      </c>
      <c r="E30" s="34">
        <v>27390272</v>
      </c>
      <c r="F30" s="34">
        <v>39929920.700000003</v>
      </c>
      <c r="G30" s="34">
        <v>44301648.200000003</v>
      </c>
      <c r="H30" s="34">
        <v>44301648.200000003</v>
      </c>
      <c r="I30" s="34">
        <v>44301648.200000003</v>
      </c>
      <c r="J30" s="34">
        <v>44181693.656900004</v>
      </c>
      <c r="K30" s="34">
        <f t="shared" si="2"/>
        <v>1643951.3900000006</v>
      </c>
      <c r="L30" s="34">
        <v>42537742.266900003</v>
      </c>
      <c r="M30" s="35">
        <f t="shared" si="0"/>
        <v>96.018419167754573</v>
      </c>
      <c r="N30" s="35">
        <f t="shared" si="1"/>
        <v>96.018419167754573</v>
      </c>
    </row>
    <row r="31" spans="1:14">
      <c r="A31" s="32" t="s">
        <v>57</v>
      </c>
      <c r="B31" s="32"/>
      <c r="C31" s="32"/>
      <c r="D31" s="33" t="s">
        <v>58</v>
      </c>
      <c r="E31" s="34">
        <v>555398371</v>
      </c>
      <c r="F31" s="34">
        <v>640495743</v>
      </c>
      <c r="G31" s="34">
        <v>617610445.89999998</v>
      </c>
      <c r="H31" s="34">
        <v>617610445.89999998</v>
      </c>
      <c r="I31" s="34">
        <v>617610445.89999998</v>
      </c>
      <c r="J31" s="34">
        <v>614870052.69860005</v>
      </c>
      <c r="K31" s="34">
        <f t="shared" si="2"/>
        <v>667914.77350008488</v>
      </c>
      <c r="L31" s="34">
        <v>614202137.92509997</v>
      </c>
      <c r="M31" s="35">
        <f t="shared" si="0"/>
        <v>99.448145995987275</v>
      </c>
      <c r="N31" s="35">
        <f t="shared" si="1"/>
        <v>99.448145995987275</v>
      </c>
    </row>
    <row r="32" spans="1:14">
      <c r="A32" s="32" t="s">
        <v>59</v>
      </c>
      <c r="B32" s="32"/>
      <c r="C32" s="32"/>
      <c r="D32" s="33" t="s">
        <v>60</v>
      </c>
      <c r="E32" s="34">
        <v>335329713</v>
      </c>
      <c r="F32" s="34">
        <v>363186475.60000002</v>
      </c>
      <c r="G32" s="34">
        <v>304399726</v>
      </c>
      <c r="H32" s="34">
        <v>304399726</v>
      </c>
      <c r="I32" s="34">
        <v>304399726</v>
      </c>
      <c r="J32" s="34">
        <v>293021454.72619998</v>
      </c>
      <c r="K32" s="34">
        <f t="shared" si="2"/>
        <v>817038.209199965</v>
      </c>
      <c r="L32" s="34">
        <v>292204416.51700002</v>
      </c>
      <c r="M32" s="35">
        <f t="shared" si="0"/>
        <v>95.993652936796664</v>
      </c>
      <c r="N32" s="35">
        <f t="shared" si="1"/>
        <v>95.993652936796664</v>
      </c>
    </row>
    <row r="33" spans="1:14">
      <c r="A33" s="32" t="s">
        <v>61</v>
      </c>
      <c r="B33" s="32"/>
      <c r="C33" s="32"/>
      <c r="D33" s="33" t="s">
        <v>62</v>
      </c>
      <c r="E33" s="34">
        <v>238888180</v>
      </c>
      <c r="F33" s="34">
        <v>233634882</v>
      </c>
      <c r="G33" s="34">
        <v>232793413</v>
      </c>
      <c r="H33" s="34">
        <v>232793413</v>
      </c>
      <c r="I33" s="34">
        <v>232793413</v>
      </c>
      <c r="J33" s="34">
        <v>232792994.0801</v>
      </c>
      <c r="K33" s="34">
        <f t="shared" si="2"/>
        <v>2.9999017715454102E-4</v>
      </c>
      <c r="L33" s="34">
        <v>232792994.07980001</v>
      </c>
      <c r="M33" s="35">
        <f t="shared" si="0"/>
        <v>99.999820046368754</v>
      </c>
      <c r="N33" s="35">
        <f t="shared" si="1"/>
        <v>99.999820046368754</v>
      </c>
    </row>
    <row r="34" spans="1:14" ht="12">
      <c r="A34" s="24"/>
      <c r="B34" s="24"/>
      <c r="C34" s="24"/>
      <c r="D34" s="25" t="s">
        <v>63</v>
      </c>
      <c r="E34" s="26">
        <v>39693594</v>
      </c>
      <c r="F34" s="26">
        <v>45726427.100000001</v>
      </c>
      <c r="G34" s="26">
        <v>45809160.100000001</v>
      </c>
      <c r="H34" s="26">
        <v>45809160.100000001</v>
      </c>
      <c r="I34" s="26"/>
      <c r="J34" s="26"/>
      <c r="K34" s="26"/>
      <c r="L34" s="26">
        <v>43206898.961000003</v>
      </c>
      <c r="M34" s="27"/>
      <c r="N34" s="27"/>
    </row>
    <row r="35" spans="1:14">
      <c r="A35" s="28"/>
      <c r="B35" s="28"/>
      <c r="C35" s="28"/>
      <c r="D35" s="29" t="s">
        <v>64</v>
      </c>
      <c r="E35" s="30">
        <v>84862395</v>
      </c>
      <c r="F35" s="30">
        <v>91823900.299999997</v>
      </c>
      <c r="G35" s="30">
        <v>91885475.299999997</v>
      </c>
      <c r="H35" s="30">
        <v>91885475.299999997</v>
      </c>
      <c r="I35" s="30">
        <v>91885475.299999997</v>
      </c>
      <c r="J35" s="30">
        <v>91872204.441100001</v>
      </c>
      <c r="K35" s="30">
        <f>J35-L35</f>
        <v>0</v>
      </c>
      <c r="L35" s="30">
        <v>91872204.441100001</v>
      </c>
      <c r="M35" s="31">
        <f t="shared" ref="M35:M41" si="3">IF(H35=0,0,L35/H35*100)</f>
        <v>99.98555717445366</v>
      </c>
      <c r="N35" s="31">
        <f t="shared" ref="N35:N41" si="4">IF(G35=0,0,L35/G35*100)</f>
        <v>99.98555717445366</v>
      </c>
    </row>
    <row r="36" spans="1:14">
      <c r="A36" s="32" t="s">
        <v>45</v>
      </c>
      <c r="B36" s="32"/>
      <c r="C36" s="32"/>
      <c r="D36" s="33" t="s">
        <v>46</v>
      </c>
      <c r="E36" s="34">
        <v>16601434</v>
      </c>
      <c r="F36" s="34">
        <v>20634238</v>
      </c>
      <c r="G36" s="34">
        <v>20634238</v>
      </c>
      <c r="H36" s="34">
        <v>20634238</v>
      </c>
      <c r="I36" s="34">
        <v>20634238</v>
      </c>
      <c r="J36" s="34">
        <v>20634238</v>
      </c>
      <c r="K36" s="34">
        <f>J36-L36</f>
        <v>0</v>
      </c>
      <c r="L36" s="34">
        <v>20634238</v>
      </c>
      <c r="M36" s="35">
        <f t="shared" si="3"/>
        <v>100</v>
      </c>
      <c r="N36" s="35">
        <f t="shared" si="4"/>
        <v>100</v>
      </c>
    </row>
    <row r="37" spans="1:14">
      <c r="A37" s="32" t="s">
        <v>47</v>
      </c>
      <c r="B37" s="32"/>
      <c r="C37" s="32"/>
      <c r="D37" s="33" t="s">
        <v>48</v>
      </c>
      <c r="E37" s="34">
        <v>0</v>
      </c>
      <c r="F37" s="34">
        <v>400000</v>
      </c>
      <c r="G37" s="34">
        <v>400000</v>
      </c>
      <c r="H37" s="34">
        <v>400000</v>
      </c>
      <c r="I37" s="34">
        <v>400000</v>
      </c>
      <c r="J37" s="34">
        <v>400000</v>
      </c>
      <c r="K37" s="34">
        <f>J37-L37</f>
        <v>0</v>
      </c>
      <c r="L37" s="34">
        <v>400000</v>
      </c>
      <c r="M37" s="35">
        <f t="shared" si="3"/>
        <v>100</v>
      </c>
      <c r="N37" s="35">
        <f t="shared" si="4"/>
        <v>100</v>
      </c>
    </row>
    <row r="38" spans="1:14" ht="33.75">
      <c r="A38" s="32" t="s">
        <v>53</v>
      </c>
      <c r="B38" s="32"/>
      <c r="C38" s="32"/>
      <c r="D38" s="33" t="s">
        <v>54</v>
      </c>
      <c r="E38" s="34">
        <v>47275393</v>
      </c>
      <c r="F38" s="34">
        <v>48818911.299999997</v>
      </c>
      <c r="G38" s="34">
        <v>48794844.299999997</v>
      </c>
      <c r="H38" s="34">
        <v>48794844.299999997</v>
      </c>
      <c r="I38" s="34">
        <v>48794844.299999997</v>
      </c>
      <c r="J38" s="34">
        <v>48781573.4833</v>
      </c>
      <c r="K38" s="34">
        <f>J38-L38</f>
        <v>0</v>
      </c>
      <c r="L38" s="34">
        <v>48781573.4833</v>
      </c>
      <c r="M38" s="35">
        <f t="shared" si="3"/>
        <v>99.972802830113764</v>
      </c>
      <c r="N38" s="35">
        <f t="shared" si="4"/>
        <v>99.972802830113764</v>
      </c>
    </row>
    <row r="39" spans="1:14">
      <c r="A39" s="32" t="s">
        <v>59</v>
      </c>
      <c r="B39" s="32"/>
      <c r="C39" s="32"/>
      <c r="D39" s="33" t="s">
        <v>60</v>
      </c>
      <c r="E39" s="34">
        <v>20985568</v>
      </c>
      <c r="F39" s="34">
        <v>21970751</v>
      </c>
      <c r="G39" s="34">
        <v>22056393</v>
      </c>
      <c r="H39" s="34">
        <v>22056393</v>
      </c>
      <c r="I39" s="34">
        <v>22056393</v>
      </c>
      <c r="J39" s="34">
        <v>22056392.957800001</v>
      </c>
      <c r="K39" s="34">
        <f>J39-L39</f>
        <v>0</v>
      </c>
      <c r="L39" s="34">
        <v>22056392.957800001</v>
      </c>
      <c r="M39" s="35">
        <f t="shared" si="3"/>
        <v>99.999999808672257</v>
      </c>
      <c r="N39" s="35">
        <f t="shared" si="4"/>
        <v>99.999999808672257</v>
      </c>
    </row>
    <row r="40" spans="1:14">
      <c r="A40" s="28"/>
      <c r="B40" s="28"/>
      <c r="C40" s="28"/>
      <c r="D40" s="29" t="s">
        <v>65</v>
      </c>
      <c r="E40" s="30">
        <v>45168801</v>
      </c>
      <c r="F40" s="30">
        <v>46097473.200000003</v>
      </c>
      <c r="G40" s="30">
        <v>46076315.200000003</v>
      </c>
      <c r="H40" s="30">
        <v>46076315.200000003</v>
      </c>
      <c r="I40" s="30"/>
      <c r="J40" s="30"/>
      <c r="K40" s="30"/>
      <c r="L40" s="30">
        <v>48665305.479900002</v>
      </c>
      <c r="M40" s="31">
        <f t="shared" si="3"/>
        <v>105.61891780768961</v>
      </c>
      <c r="N40" s="31">
        <f t="shared" si="4"/>
        <v>105.61891780768961</v>
      </c>
    </row>
    <row r="41" spans="1:14">
      <c r="A41" s="32" t="s">
        <v>66</v>
      </c>
      <c r="B41" s="32"/>
      <c r="C41" s="32"/>
      <c r="D41" s="33" t="s">
        <v>67</v>
      </c>
      <c r="E41" s="34">
        <v>45168801</v>
      </c>
      <c r="F41" s="34">
        <v>46097473.200000003</v>
      </c>
      <c r="G41" s="34">
        <v>46076315.200000003</v>
      </c>
      <c r="H41" s="34">
        <v>46076315.200000003</v>
      </c>
      <c r="I41" s="34"/>
      <c r="J41" s="34"/>
      <c r="K41" s="34"/>
      <c r="L41" s="34">
        <v>48665305.479900002</v>
      </c>
      <c r="M41" s="35">
        <f t="shared" si="3"/>
        <v>105.61891780768961</v>
      </c>
      <c r="N41" s="35">
        <f t="shared" si="4"/>
        <v>105.61891780768961</v>
      </c>
    </row>
    <row r="42" spans="1:14" ht="24">
      <c r="A42" s="24"/>
      <c r="B42" s="24"/>
      <c r="C42" s="24"/>
      <c r="D42" s="25" t="s">
        <v>68</v>
      </c>
      <c r="E42" s="26">
        <v>219983664</v>
      </c>
      <c r="F42" s="26">
        <v>589939744</v>
      </c>
      <c r="G42" s="26">
        <v>586804745</v>
      </c>
      <c r="H42" s="26">
        <v>586804745</v>
      </c>
      <c r="I42" s="26"/>
      <c r="J42" s="26"/>
      <c r="K42" s="26"/>
      <c r="L42" s="26">
        <v>572872696.82200003</v>
      </c>
      <c r="M42" s="27"/>
      <c r="N42" s="27"/>
    </row>
    <row r="43" spans="1:14">
      <c r="A43" s="28"/>
      <c r="B43" s="28"/>
      <c r="C43" s="28"/>
      <c r="D43" s="29" t="s">
        <v>69</v>
      </c>
      <c r="E43" s="30">
        <v>221256004</v>
      </c>
      <c r="F43" s="30">
        <v>592007433.70000005</v>
      </c>
      <c r="G43" s="30">
        <v>588872434.70000005</v>
      </c>
      <c r="H43" s="30">
        <v>588872434.70000005</v>
      </c>
      <c r="I43" s="30">
        <v>588872434.70000005</v>
      </c>
      <c r="J43" s="30">
        <v>575159694.96140003</v>
      </c>
      <c r="K43" s="30">
        <f t="shared" ref="K43:K53" si="5">J43-L43</f>
        <v>0</v>
      </c>
      <c r="L43" s="30">
        <v>575159694.96140003</v>
      </c>
      <c r="M43" s="31">
        <f t="shared" ref="M43:M55" si="6">IF(H43=0,0,L43/H43*100)</f>
        <v>97.671356489018564</v>
      </c>
      <c r="N43" s="31">
        <f t="shared" ref="N43:N55" si="7">IF(G43=0,0,L43/G43*100)</f>
        <v>97.671356489018564</v>
      </c>
    </row>
    <row r="44" spans="1:14">
      <c r="A44" s="32" t="s">
        <v>35</v>
      </c>
      <c r="B44" s="32"/>
      <c r="C44" s="32"/>
      <c r="D44" s="33" t="s">
        <v>36</v>
      </c>
      <c r="E44" s="34">
        <v>998815</v>
      </c>
      <c r="F44" s="34">
        <v>1198944</v>
      </c>
      <c r="G44" s="34">
        <v>1198944</v>
      </c>
      <c r="H44" s="34">
        <v>1198944</v>
      </c>
      <c r="I44" s="34">
        <v>1198944</v>
      </c>
      <c r="J44" s="34">
        <v>1198943.17</v>
      </c>
      <c r="K44" s="34">
        <f t="shared" si="5"/>
        <v>0</v>
      </c>
      <c r="L44" s="34">
        <v>1198943.17</v>
      </c>
      <c r="M44" s="35">
        <f t="shared" si="6"/>
        <v>99.999930772413052</v>
      </c>
      <c r="N44" s="35">
        <f t="shared" si="7"/>
        <v>99.999930772413052</v>
      </c>
    </row>
    <row r="45" spans="1:14">
      <c r="A45" s="32" t="s">
        <v>37</v>
      </c>
      <c r="B45" s="32"/>
      <c r="C45" s="32"/>
      <c r="D45" s="33" t="s">
        <v>38</v>
      </c>
      <c r="E45" s="34">
        <v>9375000</v>
      </c>
      <c r="F45" s="34">
        <v>9375000</v>
      </c>
      <c r="G45" s="34">
        <v>9375000</v>
      </c>
      <c r="H45" s="34">
        <v>9375000</v>
      </c>
      <c r="I45" s="34">
        <v>9375000</v>
      </c>
      <c r="J45" s="34">
        <v>9375000</v>
      </c>
      <c r="K45" s="34">
        <f t="shared" si="5"/>
        <v>0</v>
      </c>
      <c r="L45" s="34">
        <v>9375000</v>
      </c>
      <c r="M45" s="35">
        <f t="shared" si="6"/>
        <v>100</v>
      </c>
      <c r="N45" s="35">
        <f t="shared" si="7"/>
        <v>100</v>
      </c>
    </row>
    <row r="46" spans="1:14" ht="22.5">
      <c r="A46" s="32" t="s">
        <v>39</v>
      </c>
      <c r="B46" s="32"/>
      <c r="C46" s="32"/>
      <c r="D46" s="33" t="s">
        <v>40</v>
      </c>
      <c r="E46" s="34">
        <v>756534</v>
      </c>
      <c r="F46" s="34">
        <v>756534</v>
      </c>
      <c r="G46" s="34">
        <v>756534</v>
      </c>
      <c r="H46" s="34">
        <v>756534</v>
      </c>
      <c r="I46" s="34">
        <v>756534</v>
      </c>
      <c r="J46" s="34">
        <v>756534</v>
      </c>
      <c r="K46" s="34">
        <f t="shared" si="5"/>
        <v>0</v>
      </c>
      <c r="L46" s="34">
        <v>756534</v>
      </c>
      <c r="M46" s="35">
        <f t="shared" si="6"/>
        <v>100</v>
      </c>
      <c r="N46" s="35">
        <f t="shared" si="7"/>
        <v>100</v>
      </c>
    </row>
    <row r="47" spans="1:14">
      <c r="A47" s="32" t="s">
        <v>41</v>
      </c>
      <c r="B47" s="32"/>
      <c r="C47" s="32"/>
      <c r="D47" s="33" t="s">
        <v>42</v>
      </c>
      <c r="E47" s="34">
        <v>1713195</v>
      </c>
      <c r="F47" s="34">
        <v>1813195</v>
      </c>
      <c r="G47" s="34">
        <v>1813195</v>
      </c>
      <c r="H47" s="34">
        <v>1813195</v>
      </c>
      <c r="I47" s="34">
        <v>1813195</v>
      </c>
      <c r="J47" s="34">
        <v>1813195</v>
      </c>
      <c r="K47" s="34">
        <f t="shared" si="5"/>
        <v>0</v>
      </c>
      <c r="L47" s="34">
        <v>1813195</v>
      </c>
      <c r="M47" s="35">
        <f t="shared" si="6"/>
        <v>100</v>
      </c>
      <c r="N47" s="35">
        <f t="shared" si="7"/>
        <v>100</v>
      </c>
    </row>
    <row r="48" spans="1:14">
      <c r="A48" s="32" t="s">
        <v>43</v>
      </c>
      <c r="B48" s="32"/>
      <c r="C48" s="32"/>
      <c r="D48" s="33" t="s">
        <v>44</v>
      </c>
      <c r="E48" s="34">
        <v>3011693</v>
      </c>
      <c r="F48" s="34">
        <v>3606913</v>
      </c>
      <c r="G48" s="34">
        <v>3606909</v>
      </c>
      <c r="H48" s="34">
        <v>3606909</v>
      </c>
      <c r="I48" s="34">
        <v>3606909</v>
      </c>
      <c r="J48" s="34">
        <v>3606908.5</v>
      </c>
      <c r="K48" s="34">
        <f t="shared" si="5"/>
        <v>0</v>
      </c>
      <c r="L48" s="34">
        <v>3606908.5</v>
      </c>
      <c r="M48" s="35">
        <f t="shared" si="6"/>
        <v>99.99998613771514</v>
      </c>
      <c r="N48" s="35">
        <f t="shared" si="7"/>
        <v>99.99998613771514</v>
      </c>
    </row>
    <row r="49" spans="1:14">
      <c r="A49" s="32" t="s">
        <v>47</v>
      </c>
      <c r="B49" s="32"/>
      <c r="C49" s="32"/>
      <c r="D49" s="33" t="s">
        <v>48</v>
      </c>
      <c r="E49" s="34">
        <v>8047699</v>
      </c>
      <c r="F49" s="34">
        <v>17104830</v>
      </c>
      <c r="G49" s="34">
        <v>16305630</v>
      </c>
      <c r="H49" s="34">
        <v>16305630</v>
      </c>
      <c r="I49" s="34">
        <v>16305630</v>
      </c>
      <c r="J49" s="34">
        <v>13104830</v>
      </c>
      <c r="K49" s="34">
        <f t="shared" si="5"/>
        <v>0</v>
      </c>
      <c r="L49" s="34">
        <v>13104830</v>
      </c>
      <c r="M49" s="35">
        <f t="shared" si="6"/>
        <v>80.369970372196605</v>
      </c>
      <c r="N49" s="35">
        <f t="shared" si="7"/>
        <v>80.369970372196605</v>
      </c>
    </row>
    <row r="50" spans="1:14">
      <c r="A50" s="32" t="s">
        <v>51</v>
      </c>
      <c r="B50" s="32"/>
      <c r="C50" s="32"/>
      <c r="D50" s="33" t="s">
        <v>52</v>
      </c>
      <c r="E50" s="34">
        <v>0</v>
      </c>
      <c r="F50" s="34">
        <v>200000</v>
      </c>
      <c r="G50" s="34">
        <v>200000</v>
      </c>
      <c r="H50" s="34">
        <v>200000</v>
      </c>
      <c r="I50" s="34">
        <v>200000</v>
      </c>
      <c r="J50" s="34">
        <v>200000</v>
      </c>
      <c r="K50" s="34">
        <f t="shared" si="5"/>
        <v>0</v>
      </c>
      <c r="L50" s="34">
        <v>200000</v>
      </c>
      <c r="M50" s="35">
        <f t="shared" si="6"/>
        <v>100</v>
      </c>
      <c r="N50" s="35">
        <f t="shared" si="7"/>
        <v>100</v>
      </c>
    </row>
    <row r="51" spans="1:14" ht="33.75">
      <c r="A51" s="32" t="s">
        <v>53</v>
      </c>
      <c r="B51" s="32"/>
      <c r="C51" s="32"/>
      <c r="D51" s="33" t="s">
        <v>54</v>
      </c>
      <c r="E51" s="34">
        <v>4235742</v>
      </c>
      <c r="F51" s="34">
        <v>24235742</v>
      </c>
      <c r="G51" s="34">
        <v>24235742</v>
      </c>
      <c r="H51" s="34">
        <v>24235742</v>
      </c>
      <c r="I51" s="34">
        <v>24235742</v>
      </c>
      <c r="J51" s="34">
        <v>24235742</v>
      </c>
      <c r="K51" s="34">
        <f t="shared" si="5"/>
        <v>0</v>
      </c>
      <c r="L51" s="34">
        <v>24235742</v>
      </c>
      <c r="M51" s="35">
        <f t="shared" si="6"/>
        <v>100</v>
      </c>
      <c r="N51" s="35">
        <f t="shared" si="7"/>
        <v>100</v>
      </c>
    </row>
    <row r="52" spans="1:14">
      <c r="A52" s="32" t="s">
        <v>57</v>
      </c>
      <c r="B52" s="32"/>
      <c r="C52" s="32"/>
      <c r="D52" s="33" t="s">
        <v>58</v>
      </c>
      <c r="E52" s="34">
        <v>86244841</v>
      </c>
      <c r="F52" s="34">
        <v>70006792</v>
      </c>
      <c r="G52" s="34">
        <v>67713580</v>
      </c>
      <c r="H52" s="34">
        <v>67713580</v>
      </c>
      <c r="I52" s="34">
        <v>67713580</v>
      </c>
      <c r="J52" s="34">
        <v>57448898.815099999</v>
      </c>
      <c r="K52" s="34">
        <f t="shared" si="5"/>
        <v>0</v>
      </c>
      <c r="L52" s="34">
        <v>57448898.815099999</v>
      </c>
      <c r="M52" s="35">
        <f t="shared" si="6"/>
        <v>84.841030137676967</v>
      </c>
      <c r="N52" s="35">
        <f t="shared" si="7"/>
        <v>84.841030137676967</v>
      </c>
    </row>
    <row r="53" spans="1:14">
      <c r="A53" s="32" t="s">
        <v>59</v>
      </c>
      <c r="B53" s="32"/>
      <c r="C53" s="32"/>
      <c r="D53" s="33" t="s">
        <v>60</v>
      </c>
      <c r="E53" s="34">
        <v>106872485</v>
      </c>
      <c r="F53" s="34">
        <v>463709483.69999999</v>
      </c>
      <c r="G53" s="34">
        <v>463666900.69999999</v>
      </c>
      <c r="H53" s="34">
        <v>463666900.69999999</v>
      </c>
      <c r="I53" s="34">
        <v>463666900.69999999</v>
      </c>
      <c r="J53" s="34">
        <v>463419643.47640002</v>
      </c>
      <c r="K53" s="34">
        <f t="shared" si="5"/>
        <v>0</v>
      </c>
      <c r="L53" s="34">
        <v>463419643.47640002</v>
      </c>
      <c r="M53" s="35">
        <f t="shared" si="6"/>
        <v>99.94667352290476</v>
      </c>
      <c r="N53" s="35">
        <f t="shared" si="7"/>
        <v>99.94667352290476</v>
      </c>
    </row>
    <row r="54" spans="1:14" ht="21">
      <c r="A54" s="28"/>
      <c r="B54" s="28"/>
      <c r="C54" s="28"/>
      <c r="D54" s="29" t="s">
        <v>70</v>
      </c>
      <c r="E54" s="30">
        <v>1272340</v>
      </c>
      <c r="F54" s="30">
        <v>2067689.7</v>
      </c>
      <c r="G54" s="30">
        <v>2067689.7</v>
      </c>
      <c r="H54" s="30">
        <v>2067689.7</v>
      </c>
      <c r="I54" s="30"/>
      <c r="J54" s="30"/>
      <c r="K54" s="30"/>
      <c r="L54" s="30">
        <v>2286998.1392000001</v>
      </c>
      <c r="M54" s="31">
        <f t="shared" si="6"/>
        <v>110.60644830798354</v>
      </c>
      <c r="N54" s="31">
        <f t="shared" si="7"/>
        <v>110.60644830798354</v>
      </c>
    </row>
    <row r="55" spans="1:14">
      <c r="A55" s="32" t="s">
        <v>71</v>
      </c>
      <c r="B55" s="32"/>
      <c r="C55" s="32"/>
      <c r="D55" s="33" t="s">
        <v>72</v>
      </c>
      <c r="E55" s="34">
        <v>1272340</v>
      </c>
      <c r="F55" s="34">
        <v>2067689.7</v>
      </c>
      <c r="G55" s="34">
        <v>2067689.7</v>
      </c>
      <c r="H55" s="34">
        <v>2067689.7</v>
      </c>
      <c r="I55" s="34"/>
      <c r="J55" s="34"/>
      <c r="K55" s="34"/>
      <c r="L55" s="34">
        <v>2286998.1391500002</v>
      </c>
      <c r="M55" s="35">
        <f t="shared" si="6"/>
        <v>110.60644830556538</v>
      </c>
      <c r="N55" s="35">
        <f t="shared" si="7"/>
        <v>110.60644830556538</v>
      </c>
    </row>
    <row r="56" spans="1:14" ht="12">
      <c r="A56" s="24"/>
      <c r="B56" s="24"/>
      <c r="C56" s="24"/>
      <c r="D56" s="25" t="s">
        <v>73</v>
      </c>
      <c r="E56" s="26">
        <v>-762570305</v>
      </c>
      <c r="F56" s="26">
        <v>-1192690818.0999999</v>
      </c>
      <c r="G56" s="26">
        <v>-1182594519.5</v>
      </c>
      <c r="H56" s="26">
        <v>-1182594519.5</v>
      </c>
      <c r="I56" s="26"/>
      <c r="J56" s="26"/>
      <c r="K56" s="26"/>
      <c r="L56" s="26">
        <v>-1086670436.5009999</v>
      </c>
      <c r="M56" s="27"/>
      <c r="N56" s="27"/>
    </row>
    <row r="57" spans="1:14" ht="24">
      <c r="A57" s="24"/>
      <c r="B57" s="24"/>
      <c r="C57" s="24"/>
      <c r="D57" s="25" t="s">
        <v>74</v>
      </c>
      <c r="E57" s="26">
        <v>762570305</v>
      </c>
      <c r="F57" s="26">
        <v>1192690818.0999999</v>
      </c>
      <c r="G57" s="26">
        <v>1182594519.5</v>
      </c>
      <c r="H57" s="26">
        <v>1182594519.5</v>
      </c>
      <c r="I57" s="26"/>
      <c r="J57" s="26"/>
      <c r="K57" s="26"/>
      <c r="L57" s="26">
        <v>1086670436.5009999</v>
      </c>
      <c r="M57" s="27"/>
      <c r="N57" s="27"/>
    </row>
    <row r="58" spans="1:14">
      <c r="A58" s="28"/>
      <c r="B58" s="28"/>
      <c r="C58" s="28"/>
      <c r="D58" s="29" t="s">
        <v>75</v>
      </c>
      <c r="E58" s="30">
        <v>1299588285</v>
      </c>
      <c r="F58" s="30">
        <v>1366346396</v>
      </c>
      <c r="G58" s="30">
        <v>1366346396</v>
      </c>
      <c r="H58" s="30">
        <v>1366346396</v>
      </c>
      <c r="I58" s="30"/>
      <c r="J58" s="30"/>
      <c r="K58" s="30"/>
      <c r="L58" s="30">
        <v>1366344790.4447999</v>
      </c>
      <c r="M58" s="31">
        <f>IF(H58=0,0,L58/H58*100)</f>
        <v>99.999882492814066</v>
      </c>
      <c r="N58" s="31">
        <f>IF(G58=0,0,L58/G58*100)</f>
        <v>99.999882492814066</v>
      </c>
    </row>
    <row r="59" spans="1:14">
      <c r="A59" s="32" t="s">
        <v>76</v>
      </c>
      <c r="B59" s="32"/>
      <c r="C59" s="32"/>
      <c r="D59" s="33" t="s">
        <v>77</v>
      </c>
      <c r="E59" s="34">
        <v>1299588285</v>
      </c>
      <c r="F59" s="34">
        <v>1366346396</v>
      </c>
      <c r="G59" s="34">
        <v>1366346396</v>
      </c>
      <c r="H59" s="34">
        <v>1366346396</v>
      </c>
      <c r="I59" s="34"/>
      <c r="J59" s="34"/>
      <c r="K59" s="34"/>
      <c r="L59" s="34">
        <v>1366344790.4447999</v>
      </c>
      <c r="M59" s="35">
        <f>IF(H59=0,0,L59/H59*100)</f>
        <v>99.999882492814066</v>
      </c>
      <c r="N59" s="35">
        <f>IF(G59=0,0,L59/G59*100)</f>
        <v>99.999882492814066</v>
      </c>
    </row>
    <row r="60" spans="1:14">
      <c r="A60" s="28"/>
      <c r="B60" s="28"/>
      <c r="C60" s="28"/>
      <c r="D60" s="29" t="s">
        <v>78</v>
      </c>
      <c r="E60" s="30">
        <v>357191375</v>
      </c>
      <c r="F60" s="30">
        <v>362802838</v>
      </c>
      <c r="G60" s="30">
        <v>362802838</v>
      </c>
      <c r="H60" s="30">
        <v>362802838</v>
      </c>
      <c r="I60" s="30">
        <v>362802838</v>
      </c>
      <c r="J60" s="30">
        <v>361446601.16500002</v>
      </c>
      <c r="K60" s="30">
        <f>J60-L60</f>
        <v>0</v>
      </c>
      <c r="L60" s="30">
        <v>361446601.16500002</v>
      </c>
      <c r="M60" s="31">
        <f>IF(H60=0,0,L60/H60*100)</f>
        <v>99.626177997262531</v>
      </c>
      <c r="N60" s="31">
        <f>IF(G60=0,0,L60/G60*100)</f>
        <v>99.626177997262531</v>
      </c>
    </row>
    <row r="61" spans="1:14">
      <c r="A61" s="32" t="s">
        <v>79</v>
      </c>
      <c r="B61" s="32"/>
      <c r="C61" s="32"/>
      <c r="D61" s="33" t="s">
        <v>80</v>
      </c>
      <c r="E61" s="34">
        <v>357191375</v>
      </c>
      <c r="F61" s="34">
        <v>362802838</v>
      </c>
      <c r="G61" s="34">
        <v>362802838</v>
      </c>
      <c r="H61" s="34">
        <v>362802838</v>
      </c>
      <c r="I61" s="34">
        <v>362802838</v>
      </c>
      <c r="J61" s="34">
        <v>361446601.16500002</v>
      </c>
      <c r="K61" s="34">
        <f>J61-L61</f>
        <v>0</v>
      </c>
      <c r="L61" s="34">
        <v>361446601.16500002</v>
      </c>
      <c r="M61" s="35">
        <f>IF(H61=0,0,L61/H61*100)</f>
        <v>99.626177997262531</v>
      </c>
      <c r="N61" s="35">
        <f>IF(G61=0,0,L61/G61*100)</f>
        <v>99.626177997262531</v>
      </c>
    </row>
    <row r="62" spans="1:14">
      <c r="A62" s="28"/>
      <c r="B62" s="28"/>
      <c r="C62" s="28"/>
      <c r="D62" s="29" t="s">
        <v>81</v>
      </c>
      <c r="E62" s="30">
        <v>-179826605</v>
      </c>
      <c r="F62" s="30">
        <v>189147260.09999999</v>
      </c>
      <c r="G62" s="30">
        <v>179050961.5</v>
      </c>
      <c r="H62" s="30">
        <v>179050961.5</v>
      </c>
      <c r="I62" s="30"/>
      <c r="J62" s="30"/>
      <c r="K62" s="30"/>
      <c r="L62" s="30">
        <v>81772247.221000001</v>
      </c>
      <c r="M62" s="31"/>
      <c r="N62" s="31"/>
    </row>
    <row r="63" spans="1:14" ht="24">
      <c r="A63" s="24"/>
      <c r="B63" s="24"/>
      <c r="C63" s="24"/>
      <c r="D63" s="25" t="s">
        <v>82</v>
      </c>
      <c r="E63" s="26"/>
      <c r="F63" s="26"/>
      <c r="G63" s="26"/>
      <c r="H63" s="26"/>
      <c r="I63" s="26"/>
      <c r="J63" s="26"/>
      <c r="K63" s="26"/>
      <c r="L63" s="26"/>
      <c r="M63" s="27"/>
      <c r="N63" s="27"/>
    </row>
    <row r="64" spans="1:14">
      <c r="A64" s="28"/>
      <c r="B64" s="28"/>
      <c r="C64" s="28"/>
      <c r="D64" s="29" t="s">
        <v>83</v>
      </c>
      <c r="E64" s="30"/>
      <c r="F64" s="30"/>
      <c r="G64" s="30"/>
      <c r="H64" s="30"/>
      <c r="I64" s="30"/>
      <c r="J64" s="30"/>
      <c r="K64" s="30"/>
      <c r="L64" s="30">
        <v>194722499.76109999</v>
      </c>
      <c r="M64" s="31"/>
      <c r="N64" s="31"/>
    </row>
    <row r="65" spans="1:14">
      <c r="A65" s="28"/>
      <c r="B65" s="28"/>
      <c r="C65" s="28"/>
      <c r="D65" s="29" t="s">
        <v>84</v>
      </c>
      <c r="E65" s="30"/>
      <c r="F65" s="30"/>
      <c r="G65" s="30"/>
      <c r="H65" s="30"/>
      <c r="I65" s="30"/>
      <c r="J65" s="30"/>
      <c r="K65" s="30"/>
      <c r="L65" s="30">
        <v>112950252.54000001</v>
      </c>
      <c r="M65" s="31"/>
      <c r="N65" s="31"/>
    </row>
    <row r="69" spans="1:14" ht="12">
      <c r="A69" s="36"/>
      <c r="B69" s="37"/>
      <c r="C69" s="37"/>
      <c r="D69" s="38"/>
      <c r="E69" s="38"/>
      <c r="F69" s="38"/>
      <c r="G69" s="38"/>
      <c r="H69" s="38"/>
      <c r="I69" s="38"/>
      <c r="J69" s="38"/>
      <c r="K69" s="38"/>
    </row>
  </sheetData>
  <mergeCells count="12">
    <mergeCell ref="H7:I7"/>
    <mergeCell ref="A9:C9"/>
    <mergeCell ref="A7:C8"/>
    <mergeCell ref="G7:G8"/>
    <mergeCell ref="D7:D8"/>
    <mergeCell ref="E7:E8"/>
    <mergeCell ref="F7:F8"/>
    <mergeCell ref="J7:J8"/>
    <mergeCell ref="K7:K8"/>
    <mergeCell ref="L7:L8"/>
    <mergeCell ref="N7:N8"/>
    <mergeCell ref="M7:M8"/>
  </mergeCells>
  <phoneticPr fontId="0" type="noConversion"/>
  <printOptions horizontalCentered="1"/>
  <pageMargins left="0.19685039370078741" right="0.19685039370078741" top="0.78740157480314965" bottom="0.35433070866141736" header="0.39370078740157483" footer="0.19685039370078741"/>
  <pageSetup paperSize="9" scale="76" fitToHeight="0" orientation="landscape" useFirstPageNumber="1" r:id="rId1"/>
  <headerFooter alignWithMargins="0">
    <oddFooter>&amp;R&amp;8&amp;P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Отчет</vt:lpstr>
      <vt:lpstr>Отчет!Заголовки_для_печати</vt:lpstr>
    </vt:vector>
  </TitlesOfParts>
  <Company>RR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MMussabekov</dc:creator>
  <cp:lastModifiedBy>MMussabekov</cp:lastModifiedBy>
  <cp:lastPrinted>2015-02-13T03:07:39Z</cp:lastPrinted>
  <dcterms:created xsi:type="dcterms:W3CDTF">2003-05-20T10:03:43Z</dcterms:created>
  <dcterms:modified xsi:type="dcterms:W3CDTF">2015-02-13T03:07:39Z</dcterms:modified>
</cp:coreProperties>
</file>