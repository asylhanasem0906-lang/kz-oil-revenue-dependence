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C:\Users\zturlybekova\Desktop\ГБ\ГБ_2021\"/>
    </mc:Choice>
  </mc:AlternateContent>
  <bookViews>
    <workbookView xWindow="120" yWindow="30" windowWidth="15180" windowHeight="10110"/>
  </bookViews>
  <sheets>
    <sheet name="Отчет" sheetId="1" r:id="rId1"/>
  </sheets>
  <definedNames>
    <definedName name="_xlnm.Print_Titles" localSheetId="0">Отчет!$7:$9</definedName>
  </definedNames>
  <calcPr calcId="162913" fullCalcOnLoad="1"/>
</workbook>
</file>

<file path=xl/calcChain.xml><?xml version="1.0" encoding="utf-8"?>
<calcChain xmlns="http://schemas.openxmlformats.org/spreadsheetml/2006/main">
  <c r="N10" i="1" l="1"/>
  <c r="O10" i="1"/>
  <c r="N11" i="1"/>
  <c r="O11" i="1"/>
  <c r="N12" i="1"/>
  <c r="O12" i="1"/>
  <c r="N13" i="1"/>
  <c r="O13" i="1"/>
  <c r="N14" i="1"/>
  <c r="O14" i="1"/>
  <c r="N15" i="1"/>
  <c r="O15" i="1"/>
  <c r="N16" i="1"/>
  <c r="O16" i="1"/>
  <c r="N17" i="1"/>
  <c r="O17" i="1"/>
  <c r="N18" i="1"/>
  <c r="O18" i="1"/>
  <c r="L19" i="1"/>
  <c r="N19" i="1"/>
  <c r="O19" i="1"/>
  <c r="L20" i="1"/>
  <c r="N20" i="1"/>
  <c r="O20" i="1"/>
  <c r="L21" i="1"/>
  <c r="N21" i="1"/>
  <c r="O21" i="1"/>
  <c r="L22" i="1"/>
  <c r="N22" i="1"/>
  <c r="O22" i="1"/>
  <c r="L23" i="1"/>
  <c r="N23" i="1"/>
  <c r="O23" i="1"/>
  <c r="L24" i="1"/>
  <c r="N24" i="1"/>
  <c r="O24" i="1"/>
  <c r="L25" i="1"/>
  <c r="N25" i="1"/>
  <c r="O25" i="1"/>
  <c r="L26" i="1"/>
  <c r="N26" i="1"/>
  <c r="O26" i="1"/>
  <c r="L27" i="1"/>
  <c r="N27" i="1"/>
  <c r="O27" i="1"/>
  <c r="L28" i="1"/>
  <c r="N28" i="1"/>
  <c r="O28" i="1"/>
  <c r="L29" i="1"/>
  <c r="N29" i="1"/>
  <c r="O29" i="1"/>
  <c r="L30" i="1"/>
  <c r="N30" i="1"/>
  <c r="O30" i="1"/>
  <c r="L31" i="1"/>
  <c r="N31" i="1"/>
  <c r="O31" i="1"/>
  <c r="L32" i="1"/>
  <c r="N32" i="1"/>
  <c r="O32" i="1"/>
  <c r="L33" i="1"/>
  <c r="N33" i="1"/>
  <c r="O33" i="1"/>
  <c r="L35" i="1"/>
  <c r="N35" i="1"/>
  <c r="O35" i="1"/>
  <c r="L36" i="1"/>
  <c r="N36" i="1"/>
  <c r="O36" i="1"/>
  <c r="L37" i="1"/>
  <c r="N37" i="1"/>
  <c r="O37" i="1"/>
  <c r="L38" i="1"/>
  <c r="N38" i="1"/>
  <c r="O38" i="1"/>
  <c r="L39" i="1"/>
  <c r="N39" i="1"/>
  <c r="O39" i="1"/>
  <c r="L40" i="1"/>
  <c r="N40" i="1"/>
  <c r="O40" i="1"/>
  <c r="L41" i="1"/>
  <c r="N41" i="1"/>
  <c r="O41" i="1"/>
  <c r="L42" i="1"/>
  <c r="N42" i="1"/>
  <c r="O42" i="1"/>
  <c r="N43" i="1"/>
  <c r="O43" i="1"/>
  <c r="N44" i="1"/>
  <c r="O44" i="1"/>
  <c r="L46" i="1"/>
  <c r="N46" i="1"/>
  <c r="O46" i="1"/>
  <c r="L47" i="1"/>
  <c r="N47" i="1"/>
  <c r="O47" i="1"/>
  <c r="L48" i="1"/>
  <c r="N48" i="1"/>
  <c r="O48" i="1"/>
  <c r="L49" i="1"/>
  <c r="N49" i="1"/>
  <c r="O49" i="1"/>
  <c r="L50" i="1"/>
  <c r="N50" i="1"/>
  <c r="O50" i="1"/>
  <c r="L51" i="1"/>
  <c r="N51" i="1"/>
  <c r="O51" i="1"/>
  <c r="L52" i="1"/>
  <c r="N52" i="1"/>
  <c r="O52" i="1"/>
  <c r="L53" i="1"/>
  <c r="N53" i="1"/>
  <c r="O53" i="1"/>
  <c r="N54" i="1"/>
  <c r="O54" i="1"/>
  <c r="N55" i="1"/>
  <c r="O55" i="1"/>
  <c r="N58" i="1"/>
  <c r="O58" i="1"/>
  <c r="N59" i="1"/>
  <c r="O59" i="1"/>
  <c r="L60" i="1"/>
  <c r="N60" i="1"/>
  <c r="O60" i="1"/>
  <c r="L61" i="1"/>
  <c r="N61" i="1"/>
  <c r="O61" i="1"/>
</calcChain>
</file>

<file path=xl/sharedStrings.xml><?xml version="1.0" encoding="utf-8"?>
<sst xmlns="http://schemas.openxmlformats.org/spreadsheetml/2006/main" count="113" uniqueCount="85">
  <si>
    <t>Отчет об исполнении государственного бюджета</t>
  </si>
  <si>
    <t xml:space="preserve">за   2021 год  </t>
  </si>
  <si>
    <t xml:space="preserve">  </t>
  </si>
  <si>
    <t xml:space="preserve">Периодичность </t>
  </si>
  <si>
    <t xml:space="preserve">годовая </t>
  </si>
  <si>
    <t xml:space="preserve">Единица измерения </t>
  </si>
  <si>
    <t xml:space="preserve">тыс.тенге </t>
  </si>
  <si>
    <t xml:space="preserve">Коды бюджетной классификации </t>
  </si>
  <si>
    <t xml:space="preserve">Наименование </t>
  </si>
  <si>
    <t xml:space="preserve">Утвержденный бюджет на отчетный финансовый год </t>
  </si>
  <si>
    <t xml:space="preserve">Уточненный бюджет на отчетный финансовый год </t>
  </si>
  <si>
    <t xml:space="preserve">Скорректированный бюджет на отчетный финансовый год </t>
  </si>
  <si>
    <t xml:space="preserve">Сводный план поступлений и финансирования по платежам, сводный план финансирования по обязательствам на отчетный период </t>
  </si>
  <si>
    <t xml:space="preserve">Принятые обязательства </t>
  </si>
  <si>
    <t xml:space="preserve">Неоплаченные обязательства </t>
  </si>
  <si>
    <t xml:space="preserve">Исполнение поступлениий бюджета и/или оплаченных обязательств по бюджетным программам (подпрограммам) </t>
  </si>
  <si>
    <t xml:space="preserve">Исп-е поступ-ий бюджета и/или оплач. обяз-в по бюдж. прогр. (подпрогр.)  к свод. плану  поступ-ий и финанс-ия  на отчет. период, % </t>
  </si>
  <si>
    <t xml:space="preserve">Исп-е поступ-ий бюджета и/или оплач. обяз-ва по бюдж. прогр. (подпрогр.) к исполняемому бюджету, % </t>
  </si>
  <si>
    <t xml:space="preserve">по платежам </t>
  </si>
  <si>
    <t xml:space="preserve">по обязательствам </t>
  </si>
  <si>
    <t xml:space="preserve">1 </t>
  </si>
  <si>
    <t>I. ДОХОДЫ</t>
  </si>
  <si>
    <t>НАЛОГОВЫЕ ПОСТУПЛЕНИЯ</t>
  </si>
  <si>
    <t>1</t>
  </si>
  <si>
    <t>Налоговые поступления</t>
  </si>
  <si>
    <t>НЕНАЛОГОВЫЕ ПОСТУПЛЕНИЯ</t>
  </si>
  <si>
    <t>2</t>
  </si>
  <si>
    <t>Неналоговые поступления</t>
  </si>
  <si>
    <t>ПОСТУПЛЕНИЯ ОТ ПРОДАЖИ ОСНОВНОГО КАПИТАЛА</t>
  </si>
  <si>
    <t>3</t>
  </si>
  <si>
    <t>Поступления от продажи основного капитала</t>
  </si>
  <si>
    <t>ПОСТУПЛЕНИЯ ТРАНСФЕРТОВ</t>
  </si>
  <si>
    <t>4</t>
  </si>
  <si>
    <t>Поступления трансфертов</t>
  </si>
  <si>
    <t>II. ЗАТРАТЫ</t>
  </si>
  <si>
    <t>01</t>
  </si>
  <si>
    <t>Государственные услуги общего характера</t>
  </si>
  <si>
    <t>02</t>
  </si>
  <si>
    <t>Оборона</t>
  </si>
  <si>
    <t>03</t>
  </si>
  <si>
    <t>Общественный порядок, безопасность, правовая, судебная, уголовно-исполнительная деятельность</t>
  </si>
  <si>
    <t>04</t>
  </si>
  <si>
    <t>Образование</t>
  </si>
  <si>
    <t>05</t>
  </si>
  <si>
    <t>Здравоохранение</t>
  </si>
  <si>
    <t>06</t>
  </si>
  <si>
    <t>Социальная помощь и социальное обеспечение</t>
  </si>
  <si>
    <t>07</t>
  </si>
  <si>
    <t>Жилищно-коммунальное хозяйство</t>
  </si>
  <si>
    <t>08</t>
  </si>
  <si>
    <t>Культура, спорт, туризм и информационное пространство</t>
  </si>
  <si>
    <t>09</t>
  </si>
  <si>
    <t>Топливно-энергетический комплекс и недропользование</t>
  </si>
  <si>
    <t>10</t>
  </si>
  <si>
    <t>Сельское, водное, лесное, рыбное хозяйство, особо охраняемые природные территории, охрана окружающей среды и животного мира, земельные отношения</t>
  </si>
  <si>
    <t>11</t>
  </si>
  <si>
    <t>Промышленность, архитектурная, градостроительная и строительная деятельность</t>
  </si>
  <si>
    <t>12</t>
  </si>
  <si>
    <t>Транспорт и коммуникации</t>
  </si>
  <si>
    <t>13</t>
  </si>
  <si>
    <t>Прочие</t>
  </si>
  <si>
    <t>14</t>
  </si>
  <si>
    <t>Обслуживание долга</t>
  </si>
  <si>
    <t>III. ЧИСТОЕ БЮДЖЕТНОЕ КРЕДИТОВАНИЕ</t>
  </si>
  <si>
    <t>БЮДЖЕТНЫЕ КРЕДИТЫ</t>
  </si>
  <si>
    <t>ПОГАШЕНИЕ БЮДЖЕТНЫХ КРЕДИТОВ</t>
  </si>
  <si>
    <t>5</t>
  </si>
  <si>
    <t>Погашение бюджетных кредитов</t>
  </si>
  <si>
    <t>IV. САЛЬДО ПО ОПЕРАЦИЯМ С ФИНАНСОВЫМИ АКТИВАМИ</t>
  </si>
  <si>
    <t>ПРИОБРЕТЕНИЕ ФИНАНСОВЫХ АКТИВОВ</t>
  </si>
  <si>
    <t>ПОСТУПЛЕНИЯ ОТ ПРОДАЖИ ФИНАНСОВЫХ АКТИВОВ ГОСУДАРСТВА</t>
  </si>
  <si>
    <t>6</t>
  </si>
  <si>
    <t>Поступления от продажи финансовых активов государства</t>
  </si>
  <si>
    <t>V. ДЕФИЦИТ (ПРОФИЦИТ) БЮДЖЕТА</t>
  </si>
  <si>
    <t>VI. ФИНАНСИРОВАНИЕ ДЕФИЦИТА (ИСПОЛЬЗОВАНИЕ ПРОФИЦИТА) БЮДЖЕТА</t>
  </si>
  <si>
    <t>ПОСТУПЛЕНИЕ ЗАЙМОВ</t>
  </si>
  <si>
    <t>7</t>
  </si>
  <si>
    <t>Поступления займов</t>
  </si>
  <si>
    <t>ПОГАШЕНИЕ ЗАЙМОВ</t>
  </si>
  <si>
    <t>16</t>
  </si>
  <si>
    <t>Погашение займов</t>
  </si>
  <si>
    <t>ИСПОЛЬЗУЕМЫЕ ОСТАТКИ БЮДЖЕТНЫХ СРЕДСТВ</t>
  </si>
  <si>
    <t>Справочно:
Остатки бюджетных средств</t>
  </si>
  <si>
    <t>Остатки бюджетных средств на начало финансового года</t>
  </si>
  <si>
    <t>Остатки бюджетных средств на конец отчетного периода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</si>
</sst>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#,##0.0"/>
  </numFmts>
  <fonts count="11" x14ac:knownFonts="1">
    <font>
      <sz val="10"/>
      <name val="Arial Cyr"/>
      <charset val="204"/>
    </font>
    <font>
      <sz val="12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i/>
      <sz val="8"/>
      <name val="Times New Roman"/>
      <family val="1"/>
      <charset val="204"/>
    </font>
    <font>
      <b/>
      <i/>
      <sz val="10"/>
      <name val="Times New Roman"/>
      <family val="1"/>
      <charset val="204"/>
    </font>
    <font>
      <b/>
      <u/>
      <sz val="8"/>
      <name val="Times New Roman"/>
      <family val="1"/>
      <charset val="204"/>
    </font>
    <font>
      <sz val="7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49" fontId="2" fillId="0" borderId="0" xfId="0" applyNumberFormat="1" applyFont="1" applyAlignment="1">
      <alignment horizontal="centerContinuous" wrapText="1"/>
    </xf>
    <xf numFmtId="0" fontId="3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Continuous" wrapText="1"/>
    </xf>
    <xf numFmtId="49" fontId="6" fillId="0" borderId="0" xfId="0" applyNumberFormat="1" applyFont="1" applyAlignment="1">
      <alignment horizontal="centerContinuous" wrapText="1"/>
    </xf>
    <xf numFmtId="0" fontId="4" fillId="0" borderId="0" xfId="0" applyFont="1" applyAlignment="1">
      <alignment horizontal="centerContinuous" wrapText="1"/>
    </xf>
    <xf numFmtId="0" fontId="1" fillId="0" borderId="0" xfId="0" applyFont="1" applyAlignment="1">
      <alignment horizontal="centerContinuous" wrapText="1"/>
    </xf>
    <xf numFmtId="49" fontId="3" fillId="0" borderId="0" xfId="0" applyNumberFormat="1" applyFont="1"/>
    <xf numFmtId="0" fontId="7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49" fontId="8" fillId="0" borderId="7" xfId="0" applyNumberFormat="1" applyFont="1" applyBorder="1" applyAlignment="1">
      <alignment horizontal="center" vertical="center" wrapText="1"/>
    </xf>
    <xf numFmtId="49" fontId="8" fillId="0" borderId="8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10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 wrapText="1"/>
    </xf>
    <xf numFmtId="172" fontId="9" fillId="0" borderId="0" xfId="0" applyNumberFormat="1" applyFont="1" applyAlignment="1">
      <alignment vertical="center"/>
    </xf>
    <xf numFmtId="172" fontId="9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vertical="center"/>
    </xf>
    <xf numFmtId="0" fontId="10" fillId="0" borderId="0" xfId="0" applyFont="1" applyAlignment="1">
      <alignment vertical="center" wrapText="1"/>
    </xf>
    <xf numFmtId="172" fontId="10" fillId="0" borderId="0" xfId="0" applyNumberFormat="1" applyFont="1" applyAlignment="1">
      <alignment vertical="center"/>
    </xf>
    <xf numFmtId="172" fontId="10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 wrapText="1"/>
    </xf>
    <xf numFmtId="172" fontId="5" fillId="0" borderId="0" xfId="0" applyNumberFormat="1" applyFont="1" applyAlignment="1">
      <alignment vertical="center"/>
    </xf>
    <xf numFmtId="172" fontId="5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centerContinuous" vertical="center" wrapText="1"/>
    </xf>
    <xf numFmtId="49" fontId="3" fillId="0" borderId="0" xfId="0" applyNumberFormat="1" applyFont="1" applyAlignment="1">
      <alignment horizontal="centerContinuous" vertical="center"/>
    </xf>
    <xf numFmtId="0" fontId="3" fillId="0" borderId="0" xfId="0" applyFont="1" applyAlignment="1">
      <alignment horizontal="centerContinuous" vertical="center"/>
    </xf>
    <xf numFmtId="49" fontId="3" fillId="0" borderId="0" xfId="0" applyNumberFormat="1" applyFont="1" applyAlignment="1">
      <alignment vertical="center"/>
    </xf>
    <xf numFmtId="0" fontId="4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O69"/>
  <sheetViews>
    <sheetView tabSelected="1" zoomScaleNormal="100" workbookViewId="0">
      <pane xSplit="5" ySplit="10" topLeftCell="F11" activePane="bottomRight" state="frozen"/>
      <selection pane="topRight" activeCell="H1" sqref="H1"/>
      <selection pane="bottomLeft" activeCell="A15" sqref="A15"/>
      <selection pane="bottomRight" activeCell="A2" sqref="A2:O2"/>
    </sheetView>
  </sheetViews>
  <sheetFormatPr defaultRowHeight="11.25" x14ac:dyDescent="0.2"/>
  <cols>
    <col min="1" max="4" width="4" style="42" customWidth="1"/>
    <col min="5" max="5" width="45.7109375" style="2" customWidth="1"/>
    <col min="6" max="9" width="13.85546875" style="2" customWidth="1"/>
    <col min="10" max="10" width="13" style="2" customWidth="1"/>
    <col min="11" max="11" width="12.85546875" style="2" customWidth="1"/>
    <col min="12" max="12" width="12" style="2" customWidth="1"/>
    <col min="13" max="13" width="13.85546875" style="2" customWidth="1"/>
    <col min="14" max="15" width="11.28515625" style="2" customWidth="1"/>
    <col min="16" max="16384" width="9.140625" style="2"/>
  </cols>
  <sheetData>
    <row r="1" spans="1:15" s="3" customFormat="1" ht="15.75" x14ac:dyDescent="0.25">
      <c r="A1" s="43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s="3" customFormat="1" ht="15.75" x14ac:dyDescent="0.25">
      <c r="A2" s="43" t="s">
        <v>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s="3" customFormat="1" ht="15.75" x14ac:dyDescent="0.25">
      <c r="A3" s="5"/>
      <c r="B3" s="1"/>
      <c r="C3" s="1"/>
      <c r="D3" s="1"/>
      <c r="E3" s="4"/>
      <c r="F3" s="4"/>
      <c r="G3" s="6"/>
      <c r="H3" s="4"/>
      <c r="I3" s="4"/>
      <c r="J3" s="4"/>
      <c r="K3" s="4"/>
      <c r="L3" s="4"/>
      <c r="M3" s="7"/>
      <c r="N3" s="4"/>
      <c r="O3" s="4"/>
    </row>
    <row r="4" spans="1:15" s="3" customFormat="1" ht="15.75" x14ac:dyDescent="0.25">
      <c r="A4" s="5" t="s">
        <v>2</v>
      </c>
      <c r="B4" s="1"/>
      <c r="C4" s="1"/>
      <c r="D4" s="1"/>
      <c r="E4" s="4"/>
      <c r="F4" s="4"/>
      <c r="G4" s="6"/>
      <c r="H4" s="4"/>
      <c r="I4" s="4"/>
      <c r="J4" s="4"/>
      <c r="K4" s="4"/>
      <c r="L4" s="4"/>
      <c r="M4" s="7"/>
      <c r="N4" s="4"/>
      <c r="O4" s="4"/>
    </row>
    <row r="5" spans="1:15" s="10" customFormat="1" x14ac:dyDescent="0.2">
      <c r="A5" s="8" t="s">
        <v>3</v>
      </c>
      <c r="B5" s="8"/>
      <c r="C5" s="8"/>
      <c r="D5" s="8"/>
      <c r="E5" s="9" t="s">
        <v>4</v>
      </c>
      <c r="M5" s="11"/>
    </row>
    <row r="6" spans="1:15" x14ac:dyDescent="0.2">
      <c r="A6" s="8" t="s">
        <v>5</v>
      </c>
      <c r="B6" s="8"/>
      <c r="C6" s="8"/>
      <c r="D6" s="8"/>
      <c r="E6" s="9" t="s">
        <v>6</v>
      </c>
      <c r="F6" s="10"/>
      <c r="G6" s="10"/>
    </row>
    <row r="7" spans="1:15" s="18" customFormat="1" ht="42.75" customHeight="1" x14ac:dyDescent="0.2">
      <c r="A7" s="12" t="s">
        <v>7</v>
      </c>
      <c r="B7" s="13"/>
      <c r="C7" s="13"/>
      <c r="D7" s="13"/>
      <c r="E7" s="14" t="s">
        <v>8</v>
      </c>
      <c r="F7" s="14" t="s">
        <v>9</v>
      </c>
      <c r="G7" s="14" t="s">
        <v>10</v>
      </c>
      <c r="H7" s="14" t="s">
        <v>11</v>
      </c>
      <c r="I7" s="15" t="s">
        <v>12</v>
      </c>
      <c r="J7" s="16"/>
      <c r="K7" s="14" t="s">
        <v>13</v>
      </c>
      <c r="L7" s="14" t="s">
        <v>14</v>
      </c>
      <c r="M7" s="14" t="s">
        <v>15</v>
      </c>
      <c r="N7" s="14" t="s">
        <v>16</v>
      </c>
      <c r="O7" s="17" t="s">
        <v>17</v>
      </c>
    </row>
    <row r="8" spans="1:15" s="18" customFormat="1" ht="35.25" customHeight="1" x14ac:dyDescent="0.2">
      <c r="A8" s="19"/>
      <c r="B8" s="20"/>
      <c r="C8" s="20"/>
      <c r="D8" s="20"/>
      <c r="E8" s="21"/>
      <c r="F8" s="21"/>
      <c r="G8" s="21"/>
      <c r="H8" s="21"/>
      <c r="I8" s="22" t="s">
        <v>18</v>
      </c>
      <c r="J8" s="22" t="s">
        <v>19</v>
      </c>
      <c r="K8" s="21"/>
      <c r="L8" s="21"/>
      <c r="M8" s="21"/>
      <c r="N8" s="21"/>
      <c r="O8" s="17"/>
    </row>
    <row r="9" spans="1:15" ht="11.25" customHeight="1" x14ac:dyDescent="0.2">
      <c r="A9" s="23" t="s">
        <v>20</v>
      </c>
      <c r="B9" s="24"/>
      <c r="C9" s="24"/>
      <c r="D9" s="24"/>
      <c r="E9" s="25">
        <v>2</v>
      </c>
      <c r="F9" s="26">
        <v>3</v>
      </c>
      <c r="G9" s="26">
        <v>4</v>
      </c>
      <c r="H9" s="26">
        <v>5</v>
      </c>
      <c r="I9" s="26">
        <v>6</v>
      </c>
      <c r="J9" s="26">
        <v>7</v>
      </c>
      <c r="K9" s="26">
        <v>8</v>
      </c>
      <c r="L9" s="26">
        <v>9</v>
      </c>
      <c r="M9" s="26">
        <v>10</v>
      </c>
      <c r="N9" s="26">
        <v>11</v>
      </c>
      <c r="O9" s="26">
        <v>12</v>
      </c>
    </row>
    <row r="10" spans="1:15" ht="12" x14ac:dyDescent="0.2">
      <c r="A10" s="27"/>
      <c r="B10" s="27"/>
      <c r="C10" s="27"/>
      <c r="D10" s="27"/>
      <c r="E10" s="28" t="s">
        <v>21</v>
      </c>
      <c r="F10" s="29">
        <v>13834218896</v>
      </c>
      <c r="G10" s="29">
        <v>15517759486.299999</v>
      </c>
      <c r="H10" s="29">
        <v>15508056233.5</v>
      </c>
      <c r="I10" s="29">
        <v>15508056233.5</v>
      </c>
      <c r="J10" s="29"/>
      <c r="K10" s="29"/>
      <c r="L10" s="29"/>
      <c r="M10" s="29">
        <v>15847431145.5485</v>
      </c>
      <c r="N10" s="30">
        <f>IF(I10=0,0,M10/I10*100)</f>
        <v>102.18837813674801</v>
      </c>
      <c r="O10" s="30">
        <f>IF(H10=0,0,M10/H10*100)</f>
        <v>102.18837813674801</v>
      </c>
    </row>
    <row r="11" spans="1:15" x14ac:dyDescent="0.2">
      <c r="A11" s="31"/>
      <c r="B11" s="31"/>
      <c r="C11" s="31"/>
      <c r="D11" s="31"/>
      <c r="E11" s="32" t="s">
        <v>22</v>
      </c>
      <c r="F11" s="33">
        <v>9650163933</v>
      </c>
      <c r="G11" s="33">
        <v>10366608142</v>
      </c>
      <c r="H11" s="33">
        <v>10358695052.700001</v>
      </c>
      <c r="I11" s="33">
        <v>10358695052.700001</v>
      </c>
      <c r="J11" s="33"/>
      <c r="K11" s="33"/>
      <c r="L11" s="33"/>
      <c r="M11" s="33">
        <v>10724319418.932301</v>
      </c>
      <c r="N11" s="34">
        <f>IF(I11=0,0,M11/I11*100)</f>
        <v>103.52963731794576</v>
      </c>
      <c r="O11" s="34">
        <f>IF(H11=0,0,M11/H11*100)</f>
        <v>103.52963731794576</v>
      </c>
    </row>
    <row r="12" spans="1:15" x14ac:dyDescent="0.2">
      <c r="A12" s="35" t="s">
        <v>23</v>
      </c>
      <c r="B12" s="35"/>
      <c r="C12" s="35"/>
      <c r="D12" s="35"/>
      <c r="E12" s="36" t="s">
        <v>24</v>
      </c>
      <c r="F12" s="37">
        <v>9650163933</v>
      </c>
      <c r="G12" s="37">
        <v>10366608142</v>
      </c>
      <c r="H12" s="37">
        <v>10358695052.700001</v>
      </c>
      <c r="I12" s="37">
        <v>10358695052.700001</v>
      </c>
      <c r="J12" s="37"/>
      <c r="K12" s="37"/>
      <c r="L12" s="37"/>
      <c r="M12" s="37">
        <v>10724319418.9324</v>
      </c>
      <c r="N12" s="38">
        <f>IF(I12=0,0,M12/I12*100)</f>
        <v>103.52963731794671</v>
      </c>
      <c r="O12" s="38">
        <f>IF(H12=0,0,M12/H12*100)</f>
        <v>103.52963731794671</v>
      </c>
    </row>
    <row r="13" spans="1:15" x14ac:dyDescent="0.2">
      <c r="A13" s="31"/>
      <c r="B13" s="31"/>
      <c r="C13" s="31"/>
      <c r="D13" s="31"/>
      <c r="E13" s="32" t="s">
        <v>25</v>
      </c>
      <c r="F13" s="33">
        <v>316991492.30000001</v>
      </c>
      <c r="G13" s="33">
        <v>401441845.30000001</v>
      </c>
      <c r="H13" s="33">
        <v>400921788.19999999</v>
      </c>
      <c r="I13" s="33">
        <v>400921788.19999999</v>
      </c>
      <c r="J13" s="33"/>
      <c r="K13" s="33"/>
      <c r="L13" s="33"/>
      <c r="M13" s="33">
        <v>414430968.03789997</v>
      </c>
      <c r="N13" s="34">
        <f>IF(I13=0,0,M13/I13*100)</f>
        <v>103.36952997704402</v>
      </c>
      <c r="O13" s="34">
        <f>IF(H13=0,0,M13/H13*100)</f>
        <v>103.36952997704402</v>
      </c>
    </row>
    <row r="14" spans="1:15" x14ac:dyDescent="0.2">
      <c r="A14" s="35" t="s">
        <v>26</v>
      </c>
      <c r="B14" s="35"/>
      <c r="C14" s="35"/>
      <c r="D14" s="35"/>
      <c r="E14" s="36" t="s">
        <v>27</v>
      </c>
      <c r="F14" s="37">
        <v>316991492.30000001</v>
      </c>
      <c r="G14" s="37">
        <v>401441845.30000001</v>
      </c>
      <c r="H14" s="37">
        <v>400921788.19999999</v>
      </c>
      <c r="I14" s="37">
        <v>400921788.19999999</v>
      </c>
      <c r="J14" s="37"/>
      <c r="K14" s="37"/>
      <c r="L14" s="37"/>
      <c r="M14" s="37">
        <v>414430968.03789997</v>
      </c>
      <c r="N14" s="38">
        <f>IF(I14=0,0,M14/I14*100)</f>
        <v>103.36952997704402</v>
      </c>
      <c r="O14" s="38">
        <f>IF(H14=0,0,M14/H14*100)</f>
        <v>103.36952997704402</v>
      </c>
    </row>
    <row r="15" spans="1:15" ht="21" x14ac:dyDescent="0.2">
      <c r="A15" s="31"/>
      <c r="B15" s="31"/>
      <c r="C15" s="31"/>
      <c r="D15" s="31"/>
      <c r="E15" s="32" t="s">
        <v>28</v>
      </c>
      <c r="F15" s="33">
        <v>167063470.69999999</v>
      </c>
      <c r="G15" s="33">
        <v>199709499</v>
      </c>
      <c r="H15" s="33">
        <v>198439392.59999999</v>
      </c>
      <c r="I15" s="33">
        <v>198439392.59999999</v>
      </c>
      <c r="J15" s="33"/>
      <c r="K15" s="33"/>
      <c r="L15" s="33"/>
      <c r="M15" s="33">
        <v>208727596.5783</v>
      </c>
      <c r="N15" s="34">
        <f>IF(I15=0,0,M15/I15*100)</f>
        <v>105.18455728144573</v>
      </c>
      <c r="O15" s="34">
        <f>IF(H15=0,0,M15/H15*100)</f>
        <v>105.18455728144573</v>
      </c>
    </row>
    <row r="16" spans="1:15" x14ac:dyDescent="0.2">
      <c r="A16" s="35" t="s">
        <v>29</v>
      </c>
      <c r="B16" s="35"/>
      <c r="C16" s="35"/>
      <c r="D16" s="35"/>
      <c r="E16" s="36" t="s">
        <v>30</v>
      </c>
      <c r="F16" s="37">
        <v>167063470.69999999</v>
      </c>
      <c r="G16" s="37">
        <v>199709499</v>
      </c>
      <c r="H16" s="37">
        <v>198439392.59999999</v>
      </c>
      <c r="I16" s="37">
        <v>198439392.59999999</v>
      </c>
      <c r="J16" s="37"/>
      <c r="K16" s="37"/>
      <c r="L16" s="37"/>
      <c r="M16" s="37">
        <v>208727596.57820001</v>
      </c>
      <c r="N16" s="38">
        <f>IF(I16=0,0,M16/I16*100)</f>
        <v>105.18455728139536</v>
      </c>
      <c r="O16" s="38">
        <f>IF(H16=0,0,M16/H16*100)</f>
        <v>105.18455728139536</v>
      </c>
    </row>
    <row r="17" spans="1:15" x14ac:dyDescent="0.2">
      <c r="A17" s="31"/>
      <c r="B17" s="31"/>
      <c r="C17" s="31"/>
      <c r="D17" s="31"/>
      <c r="E17" s="32" t="s">
        <v>31</v>
      </c>
      <c r="F17" s="33">
        <v>3700000000</v>
      </c>
      <c r="G17" s="33">
        <v>4550000000</v>
      </c>
      <c r="H17" s="33">
        <v>4550000000</v>
      </c>
      <c r="I17" s="33">
        <v>4550000000</v>
      </c>
      <c r="J17" s="33"/>
      <c r="K17" s="33"/>
      <c r="L17" s="33"/>
      <c r="M17" s="33">
        <v>4499953162</v>
      </c>
      <c r="N17" s="34">
        <f>IF(I17=0,0,M17/I17*100)</f>
        <v>98.900069494505487</v>
      </c>
      <c r="O17" s="34">
        <f>IF(H17=0,0,M17/H17*100)</f>
        <v>98.900069494505487</v>
      </c>
    </row>
    <row r="18" spans="1:15" x14ac:dyDescent="0.2">
      <c r="A18" s="35" t="s">
        <v>32</v>
      </c>
      <c r="B18" s="35"/>
      <c r="C18" s="35"/>
      <c r="D18" s="35"/>
      <c r="E18" s="36" t="s">
        <v>33</v>
      </c>
      <c r="F18" s="37">
        <v>3700000000</v>
      </c>
      <c r="G18" s="37">
        <v>4550000000</v>
      </c>
      <c r="H18" s="37">
        <v>4550000000</v>
      </c>
      <c r="I18" s="37">
        <v>4550000000</v>
      </c>
      <c r="J18" s="37"/>
      <c r="K18" s="37"/>
      <c r="L18" s="37"/>
      <c r="M18" s="37">
        <v>4499953162</v>
      </c>
      <c r="N18" s="38">
        <f>IF(I18=0,0,M18/I18*100)</f>
        <v>98.900069494505487</v>
      </c>
      <c r="O18" s="38">
        <f>IF(H18=0,0,M18/H18*100)</f>
        <v>98.900069494505487</v>
      </c>
    </row>
    <row r="19" spans="1:15" ht="12" x14ac:dyDescent="0.2">
      <c r="A19" s="27"/>
      <c r="B19" s="27"/>
      <c r="C19" s="27"/>
      <c r="D19" s="27"/>
      <c r="E19" s="28" t="s">
        <v>34</v>
      </c>
      <c r="F19" s="29">
        <v>18006237510</v>
      </c>
      <c r="G19" s="29">
        <v>20503583871.700001</v>
      </c>
      <c r="H19" s="29">
        <v>18219238078.200001</v>
      </c>
      <c r="I19" s="29">
        <v>18219238078.200001</v>
      </c>
      <c r="J19" s="29">
        <v>18219238078.200001</v>
      </c>
      <c r="K19" s="29">
        <v>18023768231.033901</v>
      </c>
      <c r="L19" s="29">
        <f>K19-M19</f>
        <v>71879815.05160141</v>
      </c>
      <c r="M19" s="29">
        <v>17951888415.9823</v>
      </c>
      <c r="N19" s="30">
        <f>IF(I19=0,0,M19/I19*100)</f>
        <v>98.532596911735865</v>
      </c>
      <c r="O19" s="30">
        <f>IF(H19=0,0,M19/H19*100)</f>
        <v>98.532596911735865</v>
      </c>
    </row>
    <row r="20" spans="1:15" x14ac:dyDescent="0.2">
      <c r="A20" s="35" t="s">
        <v>35</v>
      </c>
      <c r="B20" s="35"/>
      <c r="C20" s="35"/>
      <c r="D20" s="35"/>
      <c r="E20" s="36" t="s">
        <v>36</v>
      </c>
      <c r="F20" s="37">
        <v>729911578.10000002</v>
      </c>
      <c r="G20" s="37">
        <v>887384436</v>
      </c>
      <c r="H20" s="37">
        <v>890846682.20000005</v>
      </c>
      <c r="I20" s="37">
        <v>890846682.20000005</v>
      </c>
      <c r="J20" s="37">
        <v>890846682.20000005</v>
      </c>
      <c r="K20" s="37">
        <v>859489936.50600004</v>
      </c>
      <c r="L20" s="37">
        <f>K20-M20</f>
        <v>3100798.9270000458</v>
      </c>
      <c r="M20" s="37">
        <v>856389137.579</v>
      </c>
      <c r="N20" s="38">
        <f>IF(I20=0,0,M20/I20*100)</f>
        <v>96.132045467587631</v>
      </c>
      <c r="O20" s="38">
        <f>IF(H20=0,0,M20/H20*100)</f>
        <v>96.132045467587631</v>
      </c>
    </row>
    <row r="21" spans="1:15" x14ac:dyDescent="0.2">
      <c r="A21" s="35" t="s">
        <v>37</v>
      </c>
      <c r="B21" s="35"/>
      <c r="C21" s="35"/>
      <c r="D21" s="35"/>
      <c r="E21" s="36" t="s">
        <v>38</v>
      </c>
      <c r="F21" s="37">
        <v>691536024.20000005</v>
      </c>
      <c r="G21" s="37">
        <v>752523201.29999995</v>
      </c>
      <c r="H21" s="37">
        <v>745996833.60000002</v>
      </c>
      <c r="I21" s="37">
        <v>745996833.60000002</v>
      </c>
      <c r="J21" s="37">
        <v>745996833.60000002</v>
      </c>
      <c r="K21" s="37">
        <v>745545615.86600006</v>
      </c>
      <c r="L21" s="37">
        <f>K21-M21</f>
        <v>838363.79020011425</v>
      </c>
      <c r="M21" s="37">
        <v>744707252.07579994</v>
      </c>
      <c r="N21" s="38">
        <f>IF(I21=0,0,M21/I21*100)</f>
        <v>99.827133110206802</v>
      </c>
      <c r="O21" s="38">
        <f>IF(H21=0,0,M21/H21*100)</f>
        <v>99.827133110206802</v>
      </c>
    </row>
    <row r="22" spans="1:15" ht="22.5" x14ac:dyDescent="0.2">
      <c r="A22" s="35" t="s">
        <v>39</v>
      </c>
      <c r="B22" s="35"/>
      <c r="C22" s="35"/>
      <c r="D22" s="35"/>
      <c r="E22" s="36" t="s">
        <v>40</v>
      </c>
      <c r="F22" s="37">
        <v>835572397</v>
      </c>
      <c r="G22" s="37">
        <v>1008059445.8</v>
      </c>
      <c r="H22" s="37">
        <v>1023248315.9</v>
      </c>
      <c r="I22" s="37">
        <v>1023248315.9</v>
      </c>
      <c r="J22" s="37">
        <v>1023248315.9</v>
      </c>
      <c r="K22" s="37">
        <v>1014726028.3162</v>
      </c>
      <c r="L22" s="37">
        <f>K22-M22</f>
        <v>3335030.5234000683</v>
      </c>
      <c r="M22" s="37">
        <v>1011390997.7927999</v>
      </c>
      <c r="N22" s="38">
        <f>IF(I22=0,0,M22/I22*100)</f>
        <v>98.841208148310429</v>
      </c>
      <c r="O22" s="38">
        <f>IF(H22=0,0,M22/H22*100)</f>
        <v>98.841208148310429</v>
      </c>
    </row>
    <row r="23" spans="1:15" x14ac:dyDescent="0.2">
      <c r="A23" s="35" t="s">
        <v>41</v>
      </c>
      <c r="B23" s="35"/>
      <c r="C23" s="35"/>
      <c r="D23" s="35"/>
      <c r="E23" s="36" t="s">
        <v>42</v>
      </c>
      <c r="F23" s="37">
        <v>4318822489</v>
      </c>
      <c r="G23" s="37">
        <v>4501524709.1999998</v>
      </c>
      <c r="H23" s="37">
        <v>3706634918.3000002</v>
      </c>
      <c r="I23" s="37">
        <v>3706634918.3000002</v>
      </c>
      <c r="J23" s="37">
        <v>3706634918.3000002</v>
      </c>
      <c r="K23" s="37">
        <v>3692862598.0527</v>
      </c>
      <c r="L23" s="37">
        <f>K23-M23</f>
        <v>11002865.005599976</v>
      </c>
      <c r="M23" s="37">
        <v>3681859733.0471001</v>
      </c>
      <c r="N23" s="38">
        <f>IF(I23=0,0,M23/I23*100)</f>
        <v>99.331598989407283</v>
      </c>
      <c r="O23" s="38">
        <f>IF(H23=0,0,M23/H23*100)</f>
        <v>99.331598989407283</v>
      </c>
    </row>
    <row r="24" spans="1:15" x14ac:dyDescent="0.2">
      <c r="A24" s="35" t="s">
        <v>43</v>
      </c>
      <c r="B24" s="35"/>
      <c r="C24" s="35"/>
      <c r="D24" s="35"/>
      <c r="E24" s="36" t="s">
        <v>44</v>
      </c>
      <c r="F24" s="37">
        <v>1817813271</v>
      </c>
      <c r="G24" s="37">
        <v>2090323909.0999999</v>
      </c>
      <c r="H24" s="37">
        <v>2288016879.4000001</v>
      </c>
      <c r="I24" s="37">
        <v>2288016879.4000001</v>
      </c>
      <c r="J24" s="37">
        <v>2288016879.4000001</v>
      </c>
      <c r="K24" s="37">
        <v>2261823351.1622</v>
      </c>
      <c r="L24" s="37">
        <f>K24-M24</f>
        <v>2475950.3860998154</v>
      </c>
      <c r="M24" s="37">
        <v>2259347400.7761002</v>
      </c>
      <c r="N24" s="38">
        <f>IF(I24=0,0,M24/I24*100)</f>
        <v>98.746972590891986</v>
      </c>
      <c r="O24" s="38">
        <f>IF(H24=0,0,M24/H24*100)</f>
        <v>98.746972590891986</v>
      </c>
    </row>
    <row r="25" spans="1:15" x14ac:dyDescent="0.2">
      <c r="A25" s="35" t="s">
        <v>45</v>
      </c>
      <c r="B25" s="35"/>
      <c r="C25" s="35"/>
      <c r="D25" s="35"/>
      <c r="E25" s="36" t="s">
        <v>46</v>
      </c>
      <c r="F25" s="37">
        <v>4402817449.6000004</v>
      </c>
      <c r="G25" s="37">
        <v>4423191969.3999996</v>
      </c>
      <c r="H25" s="37">
        <v>4061554568.4000001</v>
      </c>
      <c r="I25" s="37">
        <v>4061554568.4000001</v>
      </c>
      <c r="J25" s="37">
        <v>4061554568.4000001</v>
      </c>
      <c r="K25" s="37">
        <v>4029380691.3126998</v>
      </c>
      <c r="L25" s="37">
        <f>K25-M25</f>
        <v>477711.47739982605</v>
      </c>
      <c r="M25" s="37">
        <v>4028902979.8353</v>
      </c>
      <c r="N25" s="38">
        <f>IF(I25=0,0,M25/I25*100)</f>
        <v>99.196081499957216</v>
      </c>
      <c r="O25" s="38">
        <f>IF(H25=0,0,M25/H25*100)</f>
        <v>99.196081499957216</v>
      </c>
    </row>
    <row r="26" spans="1:15" x14ac:dyDescent="0.2">
      <c r="A26" s="35" t="s">
        <v>47</v>
      </c>
      <c r="B26" s="35"/>
      <c r="C26" s="35"/>
      <c r="D26" s="35"/>
      <c r="E26" s="36" t="s">
        <v>48</v>
      </c>
      <c r="F26" s="37">
        <v>1092512604.5999999</v>
      </c>
      <c r="G26" s="37">
        <v>1675683665.2</v>
      </c>
      <c r="H26" s="37">
        <v>1289723182.0999999</v>
      </c>
      <c r="I26" s="37">
        <v>1289723182.0999999</v>
      </c>
      <c r="J26" s="37">
        <v>1289723182.0999999</v>
      </c>
      <c r="K26" s="37">
        <v>1261531745.5179999</v>
      </c>
      <c r="L26" s="37">
        <f>K26-M26</f>
        <v>28135006.406599998</v>
      </c>
      <c r="M26" s="37">
        <v>1233396739.1113999</v>
      </c>
      <c r="N26" s="38">
        <f>IF(I26=0,0,M26/I26*100)</f>
        <v>95.632671896547123</v>
      </c>
      <c r="O26" s="38">
        <f>IF(H26=0,0,M26/H26*100)</f>
        <v>95.632671896547123</v>
      </c>
    </row>
    <row r="27" spans="1:15" ht="22.5" x14ac:dyDescent="0.2">
      <c r="A27" s="35" t="s">
        <v>49</v>
      </c>
      <c r="B27" s="35"/>
      <c r="C27" s="35"/>
      <c r="D27" s="35"/>
      <c r="E27" s="36" t="s">
        <v>50</v>
      </c>
      <c r="F27" s="37">
        <v>450087595.39999998</v>
      </c>
      <c r="G27" s="37">
        <v>547916609.5</v>
      </c>
      <c r="H27" s="37">
        <v>536443216.10000002</v>
      </c>
      <c r="I27" s="37">
        <v>536443216.10000002</v>
      </c>
      <c r="J27" s="37">
        <v>536443216.10000002</v>
      </c>
      <c r="K27" s="37">
        <v>529566142.26169997</v>
      </c>
      <c r="L27" s="37">
        <f>K27-M27</f>
        <v>1269714.6693999767</v>
      </c>
      <c r="M27" s="37">
        <v>528296427.5923</v>
      </c>
      <c r="N27" s="38">
        <f>IF(I27=0,0,M27/I27*100)</f>
        <v>98.481332550548771</v>
      </c>
      <c r="O27" s="38">
        <f>IF(H27=0,0,M27/H27*100)</f>
        <v>98.481332550548771</v>
      </c>
    </row>
    <row r="28" spans="1:15" x14ac:dyDescent="0.2">
      <c r="A28" s="35" t="s">
        <v>51</v>
      </c>
      <c r="B28" s="35"/>
      <c r="C28" s="35"/>
      <c r="D28" s="35"/>
      <c r="E28" s="36" t="s">
        <v>52</v>
      </c>
      <c r="F28" s="37">
        <v>152469876</v>
      </c>
      <c r="G28" s="37">
        <v>201365383.69999999</v>
      </c>
      <c r="H28" s="37">
        <v>168441690</v>
      </c>
      <c r="I28" s="37">
        <v>168441690</v>
      </c>
      <c r="J28" s="37">
        <v>168441690</v>
      </c>
      <c r="K28" s="37">
        <v>164496408.516</v>
      </c>
      <c r="L28" s="37">
        <f>K28-M28</f>
        <v>4133026.2668000162</v>
      </c>
      <c r="M28" s="37">
        <v>160363382.24919999</v>
      </c>
      <c r="N28" s="38">
        <f>IF(I28=0,0,M28/I28*100)</f>
        <v>95.204092436498343</v>
      </c>
      <c r="O28" s="38">
        <f>IF(H28=0,0,M28/H28*100)</f>
        <v>95.204092436498343</v>
      </c>
    </row>
    <row r="29" spans="1:15" ht="33.75" x14ac:dyDescent="0.2">
      <c r="A29" s="35" t="s">
        <v>53</v>
      </c>
      <c r="B29" s="35"/>
      <c r="C29" s="35"/>
      <c r="D29" s="35"/>
      <c r="E29" s="36" t="s">
        <v>54</v>
      </c>
      <c r="F29" s="37">
        <v>764129266.5</v>
      </c>
      <c r="G29" s="37">
        <v>918951711.10000002</v>
      </c>
      <c r="H29" s="37">
        <v>722348253.89999998</v>
      </c>
      <c r="I29" s="37">
        <v>722348253.89999998</v>
      </c>
      <c r="J29" s="37">
        <v>722348253.89999998</v>
      </c>
      <c r="K29" s="37">
        <v>719379413.88380003</v>
      </c>
      <c r="L29" s="37">
        <f>K29-M29</f>
        <v>1527134.9901000261</v>
      </c>
      <c r="M29" s="37">
        <v>717852278.8937</v>
      </c>
      <c r="N29" s="38">
        <f>IF(I29=0,0,M29/I29*100)</f>
        <v>99.377588997823977</v>
      </c>
      <c r="O29" s="38">
        <f>IF(H29=0,0,M29/H29*100)</f>
        <v>99.377588997823977</v>
      </c>
    </row>
    <row r="30" spans="1:15" ht="22.5" x14ac:dyDescent="0.2">
      <c r="A30" s="35" t="s">
        <v>55</v>
      </c>
      <c r="B30" s="35"/>
      <c r="C30" s="35"/>
      <c r="D30" s="35"/>
      <c r="E30" s="36" t="s">
        <v>56</v>
      </c>
      <c r="F30" s="37">
        <v>34777566.100000001</v>
      </c>
      <c r="G30" s="37">
        <v>51238858.899999999</v>
      </c>
      <c r="H30" s="37">
        <v>58365341.399999999</v>
      </c>
      <c r="I30" s="37">
        <v>58365341.399999999</v>
      </c>
      <c r="J30" s="37">
        <v>58365341.399999999</v>
      </c>
      <c r="K30" s="37">
        <v>58323061.303999998</v>
      </c>
      <c r="L30" s="37">
        <f>K30-M30</f>
        <v>255904.4592999965</v>
      </c>
      <c r="M30" s="37">
        <v>58067156.844700001</v>
      </c>
      <c r="N30" s="38">
        <f>IF(I30=0,0,M30/I30*100)</f>
        <v>99.489106808685619</v>
      </c>
      <c r="O30" s="38">
        <f>IF(H30=0,0,M30/H30*100)</f>
        <v>99.489106808685619</v>
      </c>
    </row>
    <row r="31" spans="1:15" x14ac:dyDescent="0.2">
      <c r="A31" s="35" t="s">
        <v>57</v>
      </c>
      <c r="B31" s="35"/>
      <c r="C31" s="35"/>
      <c r="D31" s="35"/>
      <c r="E31" s="36" t="s">
        <v>58</v>
      </c>
      <c r="F31" s="37">
        <v>845937761.39999998</v>
      </c>
      <c r="G31" s="37">
        <v>1234218647.8</v>
      </c>
      <c r="H31" s="37">
        <v>1038964058</v>
      </c>
      <c r="I31" s="37">
        <v>1038964058</v>
      </c>
      <c r="J31" s="37">
        <v>1038964058</v>
      </c>
      <c r="K31" s="37">
        <v>1021020389.0481</v>
      </c>
      <c r="L31" s="37">
        <f>K31-M31</f>
        <v>5025137.1567000151</v>
      </c>
      <c r="M31" s="37">
        <v>1015995251.8914</v>
      </c>
      <c r="N31" s="38">
        <f>IF(I31=0,0,M31/I31*100)</f>
        <v>97.789258836074183</v>
      </c>
      <c r="O31" s="38">
        <f>IF(H31=0,0,M31/H31*100)</f>
        <v>97.789258836074183</v>
      </c>
    </row>
    <row r="32" spans="1:15" x14ac:dyDescent="0.2">
      <c r="A32" s="35" t="s">
        <v>59</v>
      </c>
      <c r="B32" s="35"/>
      <c r="C32" s="35"/>
      <c r="D32" s="35"/>
      <c r="E32" s="36" t="s">
        <v>60</v>
      </c>
      <c r="F32" s="37">
        <v>893635599.10000002</v>
      </c>
      <c r="G32" s="37">
        <v>1201774179.3</v>
      </c>
      <c r="H32" s="37">
        <v>659819129.5</v>
      </c>
      <c r="I32" s="37">
        <v>659819129.5</v>
      </c>
      <c r="J32" s="37">
        <v>659819129.5</v>
      </c>
      <c r="K32" s="37">
        <v>636801021.52450001</v>
      </c>
      <c r="L32" s="37">
        <f>K32-M32</f>
        <v>10303170.993800044</v>
      </c>
      <c r="M32" s="37">
        <v>626497850.53069997</v>
      </c>
      <c r="N32" s="38">
        <f>IF(I32=0,0,M32/I32*100)</f>
        <v>94.949937417766236</v>
      </c>
      <c r="O32" s="38">
        <f>IF(H32=0,0,M32/H32*100)</f>
        <v>94.949937417766236</v>
      </c>
    </row>
    <row r="33" spans="1:15" x14ac:dyDescent="0.2">
      <c r="A33" s="35" t="s">
        <v>61</v>
      </c>
      <c r="B33" s="35"/>
      <c r="C33" s="35"/>
      <c r="D33" s="35"/>
      <c r="E33" s="36" t="s">
        <v>62</v>
      </c>
      <c r="F33" s="37">
        <v>976214032</v>
      </c>
      <c r="G33" s="37">
        <v>1009427145.4</v>
      </c>
      <c r="H33" s="37">
        <v>1028835009.4</v>
      </c>
      <c r="I33" s="37">
        <v>1028835009.4</v>
      </c>
      <c r="J33" s="37">
        <v>1028835009.4</v>
      </c>
      <c r="K33" s="37">
        <v>1028821827.7611001</v>
      </c>
      <c r="L33" s="37">
        <f>K33-M33</f>
        <v>0</v>
      </c>
      <c r="M33" s="37">
        <v>1028821827.7611001</v>
      </c>
      <c r="N33" s="38">
        <f>IF(I33=0,0,M33/I33*100)</f>
        <v>99.998718780097931</v>
      </c>
      <c r="O33" s="38">
        <f>IF(H33=0,0,M33/H33*100)</f>
        <v>99.998718780097931</v>
      </c>
    </row>
    <row r="34" spans="1:15" ht="12" x14ac:dyDescent="0.2">
      <c r="A34" s="27"/>
      <c r="B34" s="27"/>
      <c r="C34" s="27"/>
      <c r="D34" s="27"/>
      <c r="E34" s="28" t="s">
        <v>63</v>
      </c>
      <c r="F34" s="29">
        <v>132537834</v>
      </c>
      <c r="G34" s="29">
        <v>274451641.10000002</v>
      </c>
      <c r="H34" s="29">
        <v>275846378.60000002</v>
      </c>
      <c r="I34" s="29">
        <v>275846378.60000002</v>
      </c>
      <c r="J34" s="29"/>
      <c r="K34" s="29"/>
      <c r="L34" s="29"/>
      <c r="M34" s="29">
        <v>267337540.146</v>
      </c>
      <c r="N34" s="30"/>
      <c r="O34" s="30"/>
    </row>
    <row r="35" spans="1:15" x14ac:dyDescent="0.2">
      <c r="A35" s="31"/>
      <c r="B35" s="31"/>
      <c r="C35" s="31"/>
      <c r="D35" s="31"/>
      <c r="E35" s="32" t="s">
        <v>64</v>
      </c>
      <c r="F35" s="33">
        <v>290869510</v>
      </c>
      <c r="G35" s="33">
        <v>450058575.19999999</v>
      </c>
      <c r="H35" s="33">
        <v>451453381.69999999</v>
      </c>
      <c r="I35" s="33">
        <v>451453381.69999999</v>
      </c>
      <c r="J35" s="33">
        <v>451453381.69999999</v>
      </c>
      <c r="K35" s="33">
        <v>451372110.37470001</v>
      </c>
      <c r="L35" s="33">
        <f>K35-M35</f>
        <v>0</v>
      </c>
      <c r="M35" s="33">
        <v>451372110.37470001</v>
      </c>
      <c r="N35" s="34">
        <f>IF(I35=0,0,M35/I35*100)</f>
        <v>99.981997847708229</v>
      </c>
      <c r="O35" s="34">
        <f>IF(H35=0,0,M35/H35*100)</f>
        <v>99.981997847708229</v>
      </c>
    </row>
    <row r="36" spans="1:15" x14ac:dyDescent="0.2">
      <c r="A36" s="35" t="s">
        <v>45</v>
      </c>
      <c r="B36" s="35"/>
      <c r="C36" s="35"/>
      <c r="D36" s="35"/>
      <c r="E36" s="36" t="s">
        <v>46</v>
      </c>
      <c r="F36" s="37">
        <v>5297169</v>
      </c>
      <c r="G36" s="37">
        <v>1558709</v>
      </c>
      <c r="H36" s="37">
        <v>1490705</v>
      </c>
      <c r="I36" s="37">
        <v>1490705</v>
      </c>
      <c r="J36" s="37">
        <v>1490705</v>
      </c>
      <c r="K36" s="37">
        <v>1488084.5970000001</v>
      </c>
      <c r="L36" s="37">
        <f>K36-M36</f>
        <v>0</v>
      </c>
      <c r="M36" s="37">
        <v>1488084.5970000001</v>
      </c>
      <c r="N36" s="38">
        <f>IF(I36=0,0,M36/I36*100)</f>
        <v>99.824217199244657</v>
      </c>
      <c r="O36" s="38">
        <f>IF(H36=0,0,M36/H36*100)</f>
        <v>99.824217199244657</v>
      </c>
    </row>
    <row r="37" spans="1:15" x14ac:dyDescent="0.2">
      <c r="A37" s="35" t="s">
        <v>47</v>
      </c>
      <c r="B37" s="35"/>
      <c r="C37" s="35"/>
      <c r="D37" s="35"/>
      <c r="E37" s="36" t="s">
        <v>48</v>
      </c>
      <c r="F37" s="37">
        <v>6806825</v>
      </c>
      <c r="G37" s="37">
        <v>60020636.700000003</v>
      </c>
      <c r="H37" s="37">
        <v>59952084.700000003</v>
      </c>
      <c r="I37" s="37">
        <v>59952084.700000003</v>
      </c>
      <c r="J37" s="37">
        <v>59952084.700000003</v>
      </c>
      <c r="K37" s="37">
        <v>59952082.376900002</v>
      </c>
      <c r="L37" s="37">
        <f>K37-M37</f>
        <v>0</v>
      </c>
      <c r="M37" s="37">
        <v>59952082.376900002</v>
      </c>
      <c r="N37" s="38">
        <f>IF(I37=0,0,M37/I37*100)</f>
        <v>99.999996125072187</v>
      </c>
      <c r="O37" s="38">
        <f>IF(H37=0,0,M37/H37*100)</f>
        <v>99.999996125072187</v>
      </c>
    </row>
    <row r="38" spans="1:15" ht="22.5" x14ac:dyDescent="0.2">
      <c r="A38" s="35" t="s">
        <v>49</v>
      </c>
      <c r="B38" s="35"/>
      <c r="C38" s="35"/>
      <c r="D38" s="35"/>
      <c r="E38" s="36" t="s">
        <v>50</v>
      </c>
      <c r="F38" s="37">
        <v>10000000</v>
      </c>
      <c r="G38" s="37">
        <v>10000000</v>
      </c>
      <c r="H38" s="37">
        <v>10000000</v>
      </c>
      <c r="I38" s="37">
        <v>10000000</v>
      </c>
      <c r="J38" s="37">
        <v>10000000</v>
      </c>
      <c r="K38" s="37">
        <v>10000000</v>
      </c>
      <c r="L38" s="37">
        <f>K38-M38</f>
        <v>0</v>
      </c>
      <c r="M38" s="37">
        <v>10000000</v>
      </c>
      <c r="N38" s="38">
        <f>IF(I38=0,0,M38/I38*100)</f>
        <v>100</v>
      </c>
      <c r="O38" s="38">
        <f>IF(H38=0,0,M38/H38*100)</f>
        <v>100</v>
      </c>
    </row>
    <row r="39" spans="1:15" ht="33.75" x14ac:dyDescent="0.2">
      <c r="A39" s="35" t="s">
        <v>53</v>
      </c>
      <c r="B39" s="35"/>
      <c r="C39" s="35"/>
      <c r="D39" s="35"/>
      <c r="E39" s="36" t="s">
        <v>54</v>
      </c>
      <c r="F39" s="37">
        <v>111480000</v>
      </c>
      <c r="G39" s="37">
        <v>137713713.5</v>
      </c>
      <c r="H39" s="37">
        <v>139274831</v>
      </c>
      <c r="I39" s="37">
        <v>139274831</v>
      </c>
      <c r="J39" s="37">
        <v>139274831</v>
      </c>
      <c r="K39" s="37">
        <v>139196183.37799999</v>
      </c>
      <c r="L39" s="37">
        <f>K39-M39</f>
        <v>0</v>
      </c>
      <c r="M39" s="37">
        <v>139196183.37799999</v>
      </c>
      <c r="N39" s="38">
        <f>IF(I39=0,0,M39/I39*100)</f>
        <v>99.943530628301374</v>
      </c>
      <c r="O39" s="38">
        <f>IF(H39=0,0,M39/H39*100)</f>
        <v>99.943530628301374</v>
      </c>
    </row>
    <row r="40" spans="1:15" ht="22.5" x14ac:dyDescent="0.2">
      <c r="A40" s="35" t="s">
        <v>55</v>
      </c>
      <c r="B40" s="35"/>
      <c r="C40" s="35"/>
      <c r="D40" s="35"/>
      <c r="E40" s="36" t="s">
        <v>56</v>
      </c>
      <c r="F40" s="37">
        <v>38000000</v>
      </c>
      <c r="G40" s="37">
        <v>78000000</v>
      </c>
      <c r="H40" s="37">
        <v>78000000</v>
      </c>
      <c r="I40" s="37">
        <v>78000000</v>
      </c>
      <c r="J40" s="37">
        <v>78000000</v>
      </c>
      <c r="K40" s="37">
        <v>78000000</v>
      </c>
      <c r="L40" s="37">
        <f>K40-M40</f>
        <v>0</v>
      </c>
      <c r="M40" s="37">
        <v>78000000</v>
      </c>
      <c r="N40" s="38">
        <f>IF(I40=0,0,M40/I40*100)</f>
        <v>100</v>
      </c>
      <c r="O40" s="38">
        <f>IF(H40=0,0,M40/H40*100)</f>
        <v>100</v>
      </c>
    </row>
    <row r="41" spans="1:15" x14ac:dyDescent="0.2">
      <c r="A41" s="35" t="s">
        <v>57</v>
      </c>
      <c r="B41" s="35"/>
      <c r="C41" s="35"/>
      <c r="D41" s="35"/>
      <c r="E41" s="36" t="s">
        <v>58</v>
      </c>
      <c r="F41" s="37">
        <v>14700000</v>
      </c>
      <c r="G41" s="37">
        <v>14700000</v>
      </c>
      <c r="H41" s="37">
        <v>14700000</v>
      </c>
      <c r="I41" s="37">
        <v>14700000</v>
      </c>
      <c r="J41" s="37">
        <v>14700000</v>
      </c>
      <c r="K41" s="37">
        <v>14700000</v>
      </c>
      <c r="L41" s="37">
        <f>K41-M41</f>
        <v>0</v>
      </c>
      <c r="M41" s="37">
        <v>14700000</v>
      </c>
      <c r="N41" s="38">
        <f>IF(I41=0,0,M41/I41*100)</f>
        <v>100</v>
      </c>
      <c r="O41" s="38">
        <f>IF(H41=0,0,M41/H41*100)</f>
        <v>100</v>
      </c>
    </row>
    <row r="42" spans="1:15" x14ac:dyDescent="0.2">
      <c r="A42" s="35" t="s">
        <v>59</v>
      </c>
      <c r="B42" s="35"/>
      <c r="C42" s="35"/>
      <c r="D42" s="35"/>
      <c r="E42" s="36" t="s">
        <v>60</v>
      </c>
      <c r="F42" s="37">
        <v>104585516</v>
      </c>
      <c r="G42" s="37">
        <v>148065516</v>
      </c>
      <c r="H42" s="37">
        <v>148035761</v>
      </c>
      <c r="I42" s="37">
        <v>148035761</v>
      </c>
      <c r="J42" s="37">
        <v>148035761</v>
      </c>
      <c r="K42" s="37">
        <v>148035760.02289999</v>
      </c>
      <c r="L42" s="37">
        <f>K42-M42</f>
        <v>0</v>
      </c>
      <c r="M42" s="37">
        <v>148035760.02289999</v>
      </c>
      <c r="N42" s="38">
        <f>IF(I42=0,0,M42/I42*100)</f>
        <v>99.999999339956773</v>
      </c>
      <c r="O42" s="38">
        <f>IF(H42=0,0,M42/H42*100)</f>
        <v>99.999999339956773</v>
      </c>
    </row>
    <row r="43" spans="1:15" x14ac:dyDescent="0.2">
      <c r="A43" s="31"/>
      <c r="B43" s="31"/>
      <c r="C43" s="31"/>
      <c r="D43" s="31"/>
      <c r="E43" s="32" t="s">
        <v>65</v>
      </c>
      <c r="F43" s="33">
        <v>158331676</v>
      </c>
      <c r="G43" s="33">
        <v>175606934.09999999</v>
      </c>
      <c r="H43" s="33">
        <v>175607003.09999999</v>
      </c>
      <c r="I43" s="33">
        <v>175607003.09999999</v>
      </c>
      <c r="J43" s="33"/>
      <c r="K43" s="33"/>
      <c r="L43" s="33"/>
      <c r="M43" s="33">
        <v>184034570.22920001</v>
      </c>
      <c r="N43" s="34">
        <f>IF(I43=0,0,M43/I43*100)</f>
        <v>104.7991065164986</v>
      </c>
      <c r="O43" s="34">
        <f>IF(H43=0,0,M43/H43*100)</f>
        <v>104.7991065164986</v>
      </c>
    </row>
    <row r="44" spans="1:15" x14ac:dyDescent="0.2">
      <c r="A44" s="35" t="s">
        <v>66</v>
      </c>
      <c r="B44" s="35"/>
      <c r="C44" s="35"/>
      <c r="D44" s="35"/>
      <c r="E44" s="36" t="s">
        <v>67</v>
      </c>
      <c r="F44" s="37">
        <v>158331676</v>
      </c>
      <c r="G44" s="37">
        <v>175606934.09999999</v>
      </c>
      <c r="H44" s="37">
        <v>175607003.09999999</v>
      </c>
      <c r="I44" s="37">
        <v>175607003.09999999</v>
      </c>
      <c r="J44" s="37"/>
      <c r="K44" s="37"/>
      <c r="L44" s="37"/>
      <c r="M44" s="37">
        <v>184034570.22920001</v>
      </c>
      <c r="N44" s="38">
        <f>IF(I44=0,0,M44/I44*100)</f>
        <v>104.7991065164986</v>
      </c>
      <c r="O44" s="38">
        <f>IF(H44=0,0,M44/H44*100)</f>
        <v>104.7991065164986</v>
      </c>
    </row>
    <row r="45" spans="1:15" ht="24" x14ac:dyDescent="0.2">
      <c r="A45" s="27"/>
      <c r="B45" s="27"/>
      <c r="C45" s="27"/>
      <c r="D45" s="27"/>
      <c r="E45" s="28" t="s">
        <v>68</v>
      </c>
      <c r="F45" s="29">
        <v>61913102</v>
      </c>
      <c r="G45" s="29">
        <v>159971508.30000001</v>
      </c>
      <c r="H45" s="29">
        <v>163617334.30000001</v>
      </c>
      <c r="I45" s="29">
        <v>163617334.30000001</v>
      </c>
      <c r="J45" s="29"/>
      <c r="K45" s="29"/>
      <c r="L45" s="29"/>
      <c r="M45" s="29">
        <v>163011362.516</v>
      </c>
      <c r="N45" s="30"/>
      <c r="O45" s="30"/>
    </row>
    <row r="46" spans="1:15" x14ac:dyDescent="0.2">
      <c r="A46" s="31"/>
      <c r="B46" s="31"/>
      <c r="C46" s="31"/>
      <c r="D46" s="31"/>
      <c r="E46" s="32" t="s">
        <v>69</v>
      </c>
      <c r="F46" s="33">
        <v>62115602</v>
      </c>
      <c r="G46" s="33">
        <v>162086682.90000001</v>
      </c>
      <c r="H46" s="33">
        <v>165732508.90000001</v>
      </c>
      <c r="I46" s="33">
        <v>165732508.90000001</v>
      </c>
      <c r="J46" s="33">
        <v>165732508.90000001</v>
      </c>
      <c r="K46" s="33">
        <v>165709002.3964</v>
      </c>
      <c r="L46" s="33">
        <f>K46-M46</f>
        <v>0</v>
      </c>
      <c r="M46" s="33">
        <v>165709002.3964</v>
      </c>
      <c r="N46" s="34">
        <f>IF(I46=0,0,M46/I46*100)</f>
        <v>99.985816600644</v>
      </c>
      <c r="O46" s="34">
        <f>IF(H46=0,0,M46/H46*100)</f>
        <v>99.985816600644</v>
      </c>
    </row>
    <row r="47" spans="1:15" x14ac:dyDescent="0.2">
      <c r="A47" s="35" t="s">
        <v>35</v>
      </c>
      <c r="B47" s="35"/>
      <c r="C47" s="35"/>
      <c r="D47" s="35"/>
      <c r="E47" s="36" t="s">
        <v>36</v>
      </c>
      <c r="F47" s="37">
        <v>131515</v>
      </c>
      <c r="G47" s="37">
        <v>136817</v>
      </c>
      <c r="H47" s="37">
        <v>136293</v>
      </c>
      <c r="I47" s="37">
        <v>136293</v>
      </c>
      <c r="J47" s="37">
        <v>136293</v>
      </c>
      <c r="K47" s="37">
        <v>136292.25289999999</v>
      </c>
      <c r="L47" s="37">
        <f>K47-M47</f>
        <v>0</v>
      </c>
      <c r="M47" s="37">
        <v>136292.25289999999</v>
      </c>
      <c r="N47" s="38">
        <f>IF(I47=0,0,M47/I47*100)</f>
        <v>99.999451842721186</v>
      </c>
      <c r="O47" s="38">
        <f>IF(H47=0,0,M47/H47*100)</f>
        <v>99.999451842721186</v>
      </c>
    </row>
    <row r="48" spans="1:15" x14ac:dyDescent="0.2">
      <c r="A48" s="35" t="s">
        <v>47</v>
      </c>
      <c r="B48" s="35"/>
      <c r="C48" s="35"/>
      <c r="D48" s="35"/>
      <c r="E48" s="36" t="s">
        <v>48</v>
      </c>
      <c r="F48" s="37">
        <v>441720</v>
      </c>
      <c r="G48" s="37">
        <v>637642.80000000005</v>
      </c>
      <c r="H48" s="37">
        <v>637642.80000000005</v>
      </c>
      <c r="I48" s="37">
        <v>637642.80000000005</v>
      </c>
      <c r="J48" s="37">
        <v>637642.80000000005</v>
      </c>
      <c r="K48" s="37">
        <v>637642.4</v>
      </c>
      <c r="L48" s="37">
        <f>K48-M48</f>
        <v>0</v>
      </c>
      <c r="M48" s="37">
        <v>637642.4</v>
      </c>
      <c r="N48" s="38">
        <f>IF(I48=0,0,M48/I48*100)</f>
        <v>99.999937268953715</v>
      </c>
      <c r="O48" s="38">
        <f>IF(H48=0,0,M48/H48*100)</f>
        <v>99.999937268953715</v>
      </c>
    </row>
    <row r="49" spans="1:15" ht="22.5" x14ac:dyDescent="0.2">
      <c r="A49" s="35" t="s">
        <v>49</v>
      </c>
      <c r="B49" s="35"/>
      <c r="C49" s="35"/>
      <c r="D49" s="35"/>
      <c r="E49" s="36" t="s">
        <v>50</v>
      </c>
      <c r="F49" s="37">
        <v>577000</v>
      </c>
      <c r="G49" s="37">
        <v>5236779</v>
      </c>
      <c r="H49" s="37">
        <v>5163565</v>
      </c>
      <c r="I49" s="37">
        <v>5163565</v>
      </c>
      <c r="J49" s="37">
        <v>5163565</v>
      </c>
      <c r="K49" s="37">
        <v>5163565</v>
      </c>
      <c r="L49" s="37">
        <f>K49-M49</f>
        <v>0</v>
      </c>
      <c r="M49" s="37">
        <v>5163565</v>
      </c>
      <c r="N49" s="38">
        <f>IF(I49=0,0,M49/I49*100)</f>
        <v>100</v>
      </c>
      <c r="O49" s="38">
        <f>IF(H49=0,0,M49/H49*100)</f>
        <v>100</v>
      </c>
    </row>
    <row r="50" spans="1:15" ht="33.75" x14ac:dyDescent="0.2">
      <c r="A50" s="35" t="s">
        <v>53</v>
      </c>
      <c r="B50" s="35"/>
      <c r="C50" s="35"/>
      <c r="D50" s="35"/>
      <c r="E50" s="36" t="s">
        <v>54</v>
      </c>
      <c r="F50" s="37">
        <v>7661707</v>
      </c>
      <c r="G50" s="37">
        <v>7661707</v>
      </c>
      <c r="H50" s="37">
        <v>7661707</v>
      </c>
      <c r="I50" s="37">
        <v>7661707</v>
      </c>
      <c r="J50" s="37">
        <v>7661707</v>
      </c>
      <c r="K50" s="37">
        <v>7661707</v>
      </c>
      <c r="L50" s="37">
        <f>K50-M50</f>
        <v>0</v>
      </c>
      <c r="M50" s="37">
        <v>7661707</v>
      </c>
      <c r="N50" s="38">
        <f>IF(I50=0,0,M50/I50*100)</f>
        <v>100</v>
      </c>
      <c r="O50" s="38">
        <f>IF(H50=0,0,M50/H50*100)</f>
        <v>100</v>
      </c>
    </row>
    <row r="51" spans="1:15" ht="22.5" x14ac:dyDescent="0.2">
      <c r="A51" s="35" t="s">
        <v>55</v>
      </c>
      <c r="B51" s="35"/>
      <c r="C51" s="35"/>
      <c r="D51" s="35"/>
      <c r="E51" s="36" t="s">
        <v>56</v>
      </c>
      <c r="F51" s="37">
        <v>5000000</v>
      </c>
      <c r="G51" s="37">
        <v>5000000</v>
      </c>
      <c r="H51" s="37">
        <v>5000000</v>
      </c>
      <c r="I51" s="37">
        <v>5000000</v>
      </c>
      <c r="J51" s="37">
        <v>5000000</v>
      </c>
      <c r="K51" s="37">
        <v>5000000</v>
      </c>
      <c r="L51" s="37">
        <f>K51-M51</f>
        <v>0</v>
      </c>
      <c r="M51" s="37">
        <v>5000000</v>
      </c>
      <c r="N51" s="38">
        <f>IF(I51=0,0,M51/I51*100)</f>
        <v>100</v>
      </c>
      <c r="O51" s="38">
        <f>IF(H51=0,0,M51/H51*100)</f>
        <v>100</v>
      </c>
    </row>
    <row r="52" spans="1:15" x14ac:dyDescent="0.2">
      <c r="A52" s="35" t="s">
        <v>57</v>
      </c>
      <c r="B52" s="35"/>
      <c r="C52" s="35"/>
      <c r="D52" s="35"/>
      <c r="E52" s="36" t="s">
        <v>58</v>
      </c>
      <c r="F52" s="37">
        <v>16302326</v>
      </c>
      <c r="G52" s="37">
        <v>21247039</v>
      </c>
      <c r="H52" s="37">
        <v>21247039</v>
      </c>
      <c r="I52" s="37">
        <v>21247039</v>
      </c>
      <c r="J52" s="37">
        <v>21247039</v>
      </c>
      <c r="K52" s="37">
        <v>21247039</v>
      </c>
      <c r="L52" s="37">
        <f>K52-M52</f>
        <v>0</v>
      </c>
      <c r="M52" s="37">
        <v>21247039</v>
      </c>
      <c r="N52" s="38">
        <f>IF(I52=0,0,M52/I52*100)</f>
        <v>100</v>
      </c>
      <c r="O52" s="38">
        <f>IF(H52=0,0,M52/H52*100)</f>
        <v>100</v>
      </c>
    </row>
    <row r="53" spans="1:15" x14ac:dyDescent="0.2">
      <c r="A53" s="35" t="s">
        <v>59</v>
      </c>
      <c r="B53" s="35"/>
      <c r="C53" s="35"/>
      <c r="D53" s="35"/>
      <c r="E53" s="36" t="s">
        <v>60</v>
      </c>
      <c r="F53" s="37">
        <v>32001334</v>
      </c>
      <c r="G53" s="37">
        <v>122166698.09999999</v>
      </c>
      <c r="H53" s="37">
        <v>125886262.09999999</v>
      </c>
      <c r="I53" s="37">
        <v>125886262.09999999</v>
      </c>
      <c r="J53" s="37">
        <v>125886262.09999999</v>
      </c>
      <c r="K53" s="37">
        <v>125862756.74349999</v>
      </c>
      <c r="L53" s="37">
        <f>K53-M53</f>
        <v>0</v>
      </c>
      <c r="M53" s="37">
        <v>125862756.74349999</v>
      </c>
      <c r="N53" s="38">
        <f>IF(I53=0,0,M53/I53*100)</f>
        <v>99.981328100375777</v>
      </c>
      <c r="O53" s="38">
        <f>IF(H53=0,0,M53/H53*100)</f>
        <v>99.981328100375777</v>
      </c>
    </row>
    <row r="54" spans="1:15" ht="21" x14ac:dyDescent="0.2">
      <c r="A54" s="31"/>
      <c r="B54" s="31"/>
      <c r="C54" s="31"/>
      <c r="D54" s="31"/>
      <c r="E54" s="32" t="s">
        <v>70</v>
      </c>
      <c r="F54" s="33">
        <v>202500</v>
      </c>
      <c r="G54" s="33">
        <v>2115174.6</v>
      </c>
      <c r="H54" s="33">
        <v>2115174.6</v>
      </c>
      <c r="I54" s="33">
        <v>2115174.6</v>
      </c>
      <c r="J54" s="33"/>
      <c r="K54" s="33"/>
      <c r="L54" s="33"/>
      <c r="M54" s="33">
        <v>2697639.8802</v>
      </c>
      <c r="N54" s="34">
        <f>IF(I54=0,0,M54/I54*100)</f>
        <v>127.53745625538431</v>
      </c>
      <c r="O54" s="34">
        <f>IF(H54=0,0,M54/H54*100)</f>
        <v>127.53745625538431</v>
      </c>
    </row>
    <row r="55" spans="1:15" ht="22.5" x14ac:dyDescent="0.2">
      <c r="A55" s="35" t="s">
        <v>71</v>
      </c>
      <c r="B55" s="35"/>
      <c r="C55" s="35"/>
      <c r="D55" s="35"/>
      <c r="E55" s="36" t="s">
        <v>72</v>
      </c>
      <c r="F55" s="37">
        <v>202500</v>
      </c>
      <c r="G55" s="37">
        <v>2115174.6</v>
      </c>
      <c r="H55" s="37">
        <v>2115174.6</v>
      </c>
      <c r="I55" s="37">
        <v>2115174.6</v>
      </c>
      <c r="J55" s="37"/>
      <c r="K55" s="37"/>
      <c r="L55" s="37"/>
      <c r="M55" s="37">
        <v>2697639.8802299998</v>
      </c>
      <c r="N55" s="38">
        <f>IF(I55=0,0,M55/I55*100)</f>
        <v>127.53745625680261</v>
      </c>
      <c r="O55" s="38">
        <f>IF(H55=0,0,M55/H55*100)</f>
        <v>127.53745625680261</v>
      </c>
    </row>
    <row r="56" spans="1:15" ht="12" x14ac:dyDescent="0.2">
      <c r="A56" s="27"/>
      <c r="B56" s="27"/>
      <c r="C56" s="27"/>
      <c r="D56" s="27"/>
      <c r="E56" s="28" t="s">
        <v>73</v>
      </c>
      <c r="F56" s="29">
        <v>-4366469550</v>
      </c>
      <c r="G56" s="29">
        <v>-5420247534.8000002</v>
      </c>
      <c r="H56" s="29">
        <v>-3150645557.5999999</v>
      </c>
      <c r="I56" s="29">
        <v>-3150645557.5999999</v>
      </c>
      <c r="J56" s="29"/>
      <c r="K56" s="29"/>
      <c r="L56" s="29"/>
      <c r="M56" s="29">
        <v>-2534806173.0949998</v>
      </c>
      <c r="N56" s="30"/>
      <c r="O56" s="30"/>
    </row>
    <row r="57" spans="1:15" ht="24" x14ac:dyDescent="0.2">
      <c r="A57" s="27"/>
      <c r="B57" s="27"/>
      <c r="C57" s="27"/>
      <c r="D57" s="27"/>
      <c r="E57" s="28" t="s">
        <v>74</v>
      </c>
      <c r="F57" s="29">
        <v>4366469550</v>
      </c>
      <c r="G57" s="29">
        <v>5420247534.8000002</v>
      </c>
      <c r="H57" s="29">
        <v>3150645557.5999999</v>
      </c>
      <c r="I57" s="29">
        <v>3150645557.5999999</v>
      </c>
      <c r="J57" s="29"/>
      <c r="K57" s="29"/>
      <c r="L57" s="29"/>
      <c r="M57" s="29">
        <v>2534806173.0949998</v>
      </c>
      <c r="N57" s="30"/>
      <c r="O57" s="30"/>
    </row>
    <row r="58" spans="1:15" x14ac:dyDescent="0.2">
      <c r="A58" s="31"/>
      <c r="B58" s="31"/>
      <c r="C58" s="31"/>
      <c r="D58" s="31"/>
      <c r="E58" s="32" t="s">
        <v>75</v>
      </c>
      <c r="F58" s="33">
        <v>3773296446</v>
      </c>
      <c r="G58" s="33">
        <v>3861344665.0999999</v>
      </c>
      <c r="H58" s="33">
        <v>3853891466.3000002</v>
      </c>
      <c r="I58" s="33">
        <v>3853891466.3000002</v>
      </c>
      <c r="J58" s="33"/>
      <c r="K58" s="33"/>
      <c r="L58" s="33"/>
      <c r="M58" s="33">
        <v>3850509822.7979002</v>
      </c>
      <c r="N58" s="34">
        <f>IF(I58=0,0,M58/I58*100)</f>
        <v>99.912253795114097</v>
      </c>
      <c r="O58" s="34">
        <f>IF(H58=0,0,M58/H58*100)</f>
        <v>99.912253795114097</v>
      </c>
    </row>
    <row r="59" spans="1:15" x14ac:dyDescent="0.2">
      <c r="A59" s="35" t="s">
        <v>76</v>
      </c>
      <c r="B59" s="35"/>
      <c r="C59" s="35"/>
      <c r="D59" s="35"/>
      <c r="E59" s="36" t="s">
        <v>77</v>
      </c>
      <c r="F59" s="37">
        <v>3773296446</v>
      </c>
      <c r="G59" s="37">
        <v>3861344665.0999999</v>
      </c>
      <c r="H59" s="37">
        <v>3853891466.3000002</v>
      </c>
      <c r="I59" s="37">
        <v>3853891466.3000002</v>
      </c>
      <c r="J59" s="37"/>
      <c r="K59" s="37"/>
      <c r="L59" s="37"/>
      <c r="M59" s="37">
        <v>3850509822.7979002</v>
      </c>
      <c r="N59" s="38">
        <f>IF(I59=0,0,M59/I59*100)</f>
        <v>99.912253795114097</v>
      </c>
      <c r="O59" s="38">
        <f>IF(H59=0,0,M59/H59*100)</f>
        <v>99.912253795114097</v>
      </c>
    </row>
    <row r="60" spans="1:15" x14ac:dyDescent="0.2">
      <c r="A60" s="31"/>
      <c r="B60" s="31"/>
      <c r="C60" s="31"/>
      <c r="D60" s="31"/>
      <c r="E60" s="32" t="s">
        <v>78</v>
      </c>
      <c r="F60" s="33">
        <v>1221787611</v>
      </c>
      <c r="G60" s="33">
        <v>1302717366.7</v>
      </c>
      <c r="H60" s="33">
        <v>1303381059.7</v>
      </c>
      <c r="I60" s="33">
        <v>1303381059.7</v>
      </c>
      <c r="J60" s="33">
        <v>1303381059.7</v>
      </c>
      <c r="K60" s="33">
        <v>1298383030.3745999</v>
      </c>
      <c r="L60" s="33">
        <f>K60-M60</f>
        <v>0</v>
      </c>
      <c r="M60" s="33">
        <v>1298383030.3745999</v>
      </c>
      <c r="N60" s="34">
        <f>IF(I60=0,0,M60/I60*100)</f>
        <v>99.616533531141656</v>
      </c>
      <c r="O60" s="34">
        <f>IF(H60=0,0,M60/H60*100)</f>
        <v>99.616533531141656</v>
      </c>
    </row>
    <row r="61" spans="1:15" x14ac:dyDescent="0.2">
      <c r="A61" s="35" t="s">
        <v>79</v>
      </c>
      <c r="B61" s="35"/>
      <c r="C61" s="35"/>
      <c r="D61" s="35"/>
      <c r="E61" s="36" t="s">
        <v>80</v>
      </c>
      <c r="F61" s="37">
        <v>1221787611</v>
      </c>
      <c r="G61" s="37">
        <v>1302717366.7</v>
      </c>
      <c r="H61" s="37">
        <v>1303381059.7</v>
      </c>
      <c r="I61" s="37">
        <v>1303381059.7</v>
      </c>
      <c r="J61" s="37">
        <v>1303381059.7</v>
      </c>
      <c r="K61" s="37">
        <v>1298383030.3745999</v>
      </c>
      <c r="L61" s="37">
        <f>K61-M61</f>
        <v>0</v>
      </c>
      <c r="M61" s="37">
        <v>1298383030.3745999</v>
      </c>
      <c r="N61" s="38">
        <f>IF(I61=0,0,M61/I61*100)</f>
        <v>99.616533531141656</v>
      </c>
      <c r="O61" s="38">
        <f>IF(H61=0,0,M61/H61*100)</f>
        <v>99.616533531141656</v>
      </c>
    </row>
    <row r="62" spans="1:15" x14ac:dyDescent="0.2">
      <c r="A62" s="31"/>
      <c r="B62" s="31"/>
      <c r="C62" s="31"/>
      <c r="D62" s="31"/>
      <c r="E62" s="32" t="s">
        <v>81</v>
      </c>
      <c r="F62" s="33">
        <v>1814960715</v>
      </c>
      <c r="G62" s="33">
        <v>2861620236.4000001</v>
      </c>
      <c r="H62" s="33">
        <v>600135151</v>
      </c>
      <c r="I62" s="33">
        <v>600135151</v>
      </c>
      <c r="J62" s="33"/>
      <c r="K62" s="33"/>
      <c r="L62" s="33"/>
      <c r="M62" s="33">
        <v>-17320619.328000002</v>
      </c>
      <c r="N62" s="34"/>
      <c r="O62" s="34"/>
    </row>
    <row r="63" spans="1:15" ht="24" x14ac:dyDescent="0.2">
      <c r="A63" s="27"/>
      <c r="B63" s="27"/>
      <c r="C63" s="27"/>
      <c r="D63" s="27"/>
      <c r="E63" s="28" t="s">
        <v>82</v>
      </c>
      <c r="F63" s="29"/>
      <c r="G63" s="29"/>
      <c r="H63" s="29"/>
      <c r="I63" s="29"/>
      <c r="J63" s="29"/>
      <c r="K63" s="29"/>
      <c r="L63" s="29"/>
      <c r="M63" s="29"/>
      <c r="N63" s="30"/>
      <c r="O63" s="30"/>
    </row>
    <row r="64" spans="1:15" x14ac:dyDescent="0.2">
      <c r="A64" s="31"/>
      <c r="B64" s="31"/>
      <c r="C64" s="31"/>
      <c r="D64" s="31"/>
      <c r="E64" s="32" t="s">
        <v>83</v>
      </c>
      <c r="F64" s="33"/>
      <c r="G64" s="33"/>
      <c r="H64" s="33"/>
      <c r="I64" s="33"/>
      <c r="J64" s="33"/>
      <c r="K64" s="33"/>
      <c r="L64" s="33"/>
      <c r="M64" s="33">
        <v>610819108.36749995</v>
      </c>
      <c r="N64" s="34"/>
      <c r="O64" s="34"/>
    </row>
    <row r="65" spans="1:15" x14ac:dyDescent="0.2">
      <c r="A65" s="31"/>
      <c r="B65" s="31"/>
      <c r="C65" s="31"/>
      <c r="D65" s="31"/>
      <c r="E65" s="32" t="s">
        <v>84</v>
      </c>
      <c r="F65" s="33"/>
      <c r="G65" s="33"/>
      <c r="H65" s="33"/>
      <c r="I65" s="33"/>
      <c r="J65" s="33"/>
      <c r="K65" s="33"/>
      <c r="L65" s="33"/>
      <c r="M65" s="33">
        <v>628139727.69500005</v>
      </c>
      <c r="N65" s="34"/>
      <c r="O65" s="34"/>
    </row>
    <row r="69" spans="1:15" ht="12" x14ac:dyDescent="0.2">
      <c r="A69" s="39"/>
      <c r="B69" s="40"/>
      <c r="C69" s="40"/>
      <c r="D69" s="40"/>
      <c r="E69" s="41"/>
      <c r="F69" s="41"/>
      <c r="G69" s="41"/>
      <c r="H69" s="41"/>
      <c r="I69" s="41"/>
      <c r="J69" s="41"/>
      <c r="K69" s="41"/>
      <c r="L69" s="41"/>
    </row>
  </sheetData>
  <mergeCells count="14">
    <mergeCell ref="K7:K8"/>
    <mergeCell ref="L7:L8"/>
    <mergeCell ref="M7:M8"/>
    <mergeCell ref="O7:O8"/>
    <mergeCell ref="N7:N8"/>
    <mergeCell ref="A1:O1"/>
    <mergeCell ref="A2:O2"/>
    <mergeCell ref="A9:D9"/>
    <mergeCell ref="A7:D8"/>
    <mergeCell ref="H7:H8"/>
    <mergeCell ref="E7:E8"/>
    <mergeCell ref="F7:F8"/>
    <mergeCell ref="G7:G8"/>
    <mergeCell ref="I7:J7"/>
  </mergeCells>
  <phoneticPr fontId="0" type="noConversion"/>
  <printOptions horizontalCentered="1"/>
  <pageMargins left="0.19685039370078741" right="0.19685039370078741" top="0.78740157480314965" bottom="0.35433070866141736" header="0.39370078740157483" footer="0.19685039370078741"/>
  <pageSetup paperSize="9" scale="75" fitToHeight="0" orientation="landscape" r:id="rId1"/>
  <headerFooter alignWithMargins="0">
    <oddFooter>&amp;R&amp;8&amp;P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Отчет</vt:lpstr>
      <vt:lpstr>Отчет!Заголовки_для_печати</vt:lpstr>
    </vt:vector>
  </TitlesOfParts>
  <Company>RR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Зульфия Турлыбекова</dc:creator>
  <cp:lastModifiedBy>Зульфия Турлыбекова</cp:lastModifiedBy>
  <cp:lastPrinted>2022-06-23T10:32:33Z</cp:lastPrinted>
  <dcterms:created xsi:type="dcterms:W3CDTF">2003-05-20T10:03:43Z</dcterms:created>
  <dcterms:modified xsi:type="dcterms:W3CDTF">2022-06-23T10:34:30Z</dcterms:modified>
</cp:coreProperties>
</file>