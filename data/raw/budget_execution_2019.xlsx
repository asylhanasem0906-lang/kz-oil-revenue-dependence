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 defaultThemeVersion="124226"/>
  <bookViews>
    <workbookView xWindow="120" yWindow="30" windowWidth="15180" windowHeight="10110"/>
  </bookViews>
  <sheets>
    <sheet name="Отчет" sheetId="1" r:id="rId1"/>
  </sheets>
  <definedNames>
    <definedName name="_xlnm.Print_Titles" localSheetId="0">Отчет!$7:$9</definedName>
  </definedNames>
  <calcPr calcId="145621"/>
</workbook>
</file>

<file path=xl/calcChain.xml><?xml version="1.0" encoding="utf-8"?>
<calcChain xmlns="http://schemas.openxmlformats.org/spreadsheetml/2006/main">
  <c r="P10" i="1" l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N19" i="1"/>
  <c r="P19" i="1"/>
  <c r="Q19" i="1"/>
  <c r="N20" i="1"/>
  <c r="P20" i="1"/>
  <c r="Q20" i="1"/>
  <c r="N21" i="1"/>
  <c r="P21" i="1"/>
  <c r="Q21" i="1"/>
  <c r="N22" i="1"/>
  <c r="P22" i="1"/>
  <c r="Q22" i="1"/>
  <c r="N23" i="1"/>
  <c r="P23" i="1"/>
  <c r="Q23" i="1"/>
  <c r="N24" i="1"/>
  <c r="P24" i="1"/>
  <c r="Q24" i="1"/>
  <c r="N25" i="1"/>
  <c r="P25" i="1"/>
  <c r="Q25" i="1"/>
  <c r="N26" i="1"/>
  <c r="P26" i="1"/>
  <c r="Q26" i="1"/>
  <c r="N27" i="1"/>
  <c r="P27" i="1"/>
  <c r="Q27" i="1"/>
  <c r="N28" i="1"/>
  <c r="P28" i="1"/>
  <c r="Q28" i="1"/>
  <c r="N29" i="1"/>
  <c r="P29" i="1"/>
  <c r="Q29" i="1"/>
  <c r="N30" i="1"/>
  <c r="P30" i="1"/>
  <c r="Q30" i="1"/>
  <c r="N31" i="1"/>
  <c r="P31" i="1"/>
  <c r="Q31" i="1"/>
  <c r="N32" i="1"/>
  <c r="P32" i="1"/>
  <c r="Q32" i="1"/>
  <c r="N33" i="1"/>
  <c r="P33" i="1"/>
  <c r="Q33" i="1"/>
  <c r="N34" i="1"/>
  <c r="P34" i="1"/>
  <c r="Q34" i="1"/>
  <c r="N36" i="1"/>
  <c r="P36" i="1"/>
  <c r="Q36" i="1"/>
  <c r="N37" i="1"/>
  <c r="P37" i="1"/>
  <c r="Q37" i="1"/>
  <c r="N38" i="1"/>
  <c r="P38" i="1"/>
  <c r="Q38" i="1"/>
  <c r="N39" i="1"/>
  <c r="P39" i="1"/>
  <c r="Q39" i="1"/>
  <c r="N40" i="1"/>
  <c r="P40" i="1"/>
  <c r="Q40" i="1"/>
  <c r="N41" i="1"/>
  <c r="P41" i="1"/>
  <c r="Q41" i="1"/>
  <c r="N42" i="1"/>
  <c r="P42" i="1"/>
  <c r="Q42" i="1"/>
  <c r="N43" i="1"/>
  <c r="P43" i="1"/>
  <c r="Q43" i="1"/>
  <c r="P44" i="1"/>
  <c r="Q44" i="1"/>
  <c r="P45" i="1"/>
  <c r="Q45" i="1"/>
  <c r="N47" i="1"/>
  <c r="P47" i="1"/>
  <c r="Q47" i="1"/>
  <c r="N48" i="1"/>
  <c r="P48" i="1"/>
  <c r="Q48" i="1"/>
  <c r="N49" i="1"/>
  <c r="P49" i="1"/>
  <c r="Q49" i="1"/>
  <c r="N50" i="1"/>
  <c r="P50" i="1"/>
  <c r="Q50" i="1"/>
  <c r="N51" i="1"/>
  <c r="P51" i="1"/>
  <c r="Q51" i="1"/>
  <c r="N52" i="1"/>
  <c r="P52" i="1"/>
  <c r="Q52" i="1"/>
  <c r="N53" i="1"/>
  <c r="P53" i="1"/>
  <c r="Q53" i="1"/>
  <c r="P54" i="1"/>
  <c r="Q54" i="1"/>
  <c r="P55" i="1"/>
  <c r="Q55" i="1"/>
  <c r="P58" i="1"/>
  <c r="Q58" i="1"/>
  <c r="P59" i="1"/>
  <c r="Q59" i="1"/>
  <c r="N60" i="1"/>
  <c r="P60" i="1"/>
  <c r="Q60" i="1"/>
  <c r="N61" i="1"/>
  <c r="P61" i="1"/>
  <c r="Q61" i="1"/>
</calcChain>
</file>

<file path=xl/sharedStrings.xml><?xml version="1.0" encoding="utf-8"?>
<sst xmlns="http://schemas.openxmlformats.org/spreadsheetml/2006/main" count="113" uniqueCount="87">
  <si>
    <t>Отчет об исполнении государственного бюджета</t>
  </si>
  <si>
    <t xml:space="preserve">за   2019 год  </t>
  </si>
  <si>
    <t xml:space="preserve">  </t>
  </si>
  <si>
    <t xml:space="preserve">Периодичность </t>
  </si>
  <si>
    <t xml:space="preserve">годовая </t>
  </si>
  <si>
    <t xml:space="preserve">Единица измерения </t>
  </si>
  <si>
    <t xml:space="preserve">тыс.тенге </t>
  </si>
  <si>
    <t xml:space="preserve">Коды бюджетной классификации </t>
  </si>
  <si>
    <t xml:space="preserve">Наименование </t>
  </si>
  <si>
    <t xml:space="preserve">Утвержденный бюджет на отчетный финансовый год </t>
  </si>
  <si>
    <t xml:space="preserve">Уточненный бюджет на отчетный финансовый год </t>
  </si>
  <si>
    <t xml:space="preserve">Скорректированный бюджет на отчетный финансовый год </t>
  </si>
  <si>
    <t xml:space="preserve">Сводный план поступлений и финансирования по платежам, сводный план финансирования по обязательствам на отчетный период </t>
  </si>
  <si>
    <t xml:space="preserve">Принятые обязательства </t>
  </si>
  <si>
    <t xml:space="preserve">Неоплаченные обязательства </t>
  </si>
  <si>
    <t xml:space="preserve">Исполнение поступлениий бюджета и/или оплаченных обязательств по бюджетным программам (подпрограммам) </t>
  </si>
  <si>
    <t xml:space="preserve">Исп-е поступ-ий бюджета и/или оплач. обяз-в по бюдж. прогр. (подпрогр.)  к свод. плану  поступ-ий и финанс-ия  на отчет. период, % </t>
  </si>
  <si>
    <t xml:space="preserve">Исп-е поступ-ий бюджета и/или оплач. обяз-ва по бюдж. прогр. (подпрогр.) к исполняемому бюджету, % </t>
  </si>
  <si>
    <t xml:space="preserve">по платежам </t>
  </si>
  <si>
    <t xml:space="preserve">по обязательствам </t>
  </si>
  <si>
    <t xml:space="preserve">1 </t>
  </si>
  <si>
    <t>I. ДОХОДЫ</t>
  </si>
  <si>
    <t>НАЛОГОВЫЕ ПОСТУПЛЕНИЯ</t>
  </si>
  <si>
    <t>1</t>
  </si>
  <si>
    <t>Налоговые поступления</t>
  </si>
  <si>
    <t>НЕНАЛОГОВЫЕ ПОСТУПЛЕНИЯ</t>
  </si>
  <si>
    <t>2</t>
  </si>
  <si>
    <t>Неналоговые поступления</t>
  </si>
  <si>
    <t>ПОСТУПЛЕНИЯ ОТ ПРОДАЖИ ОСНОВНОГО КАПИТАЛА</t>
  </si>
  <si>
    <t>3</t>
  </si>
  <si>
    <t>Поступления от продажи основного капитала</t>
  </si>
  <si>
    <t>ПОСТУПЛЕНИЯ ТРАНСФЕРТОВ</t>
  </si>
  <si>
    <t>4</t>
  </si>
  <si>
    <t>Поступления трансфертов</t>
  </si>
  <si>
    <t>II. ЗАТРАТЫ</t>
  </si>
  <si>
    <t>01</t>
  </si>
  <si>
    <t>Государственные услуги общего характера</t>
  </si>
  <si>
    <t>02</t>
  </si>
  <si>
    <t>Оборона</t>
  </si>
  <si>
    <t>03</t>
  </si>
  <si>
    <t>Общественный порядок, безопасность, правовая, судебная, уголовно-исполнительная деятельность</t>
  </si>
  <si>
    <t>04</t>
  </si>
  <si>
    <t>Образование</t>
  </si>
  <si>
    <t>05</t>
  </si>
  <si>
    <t>Здравоохранение</t>
  </si>
  <si>
    <t>06</t>
  </si>
  <si>
    <t>Социальная помощь и социальное обеспечение</t>
  </si>
  <si>
    <t>07</t>
  </si>
  <si>
    <t>Жилищно-коммунальное хозяйство</t>
  </si>
  <si>
    <t>08</t>
  </si>
  <si>
    <t>Культура, спорт, туризм и информационное пространство</t>
  </si>
  <si>
    <t>09</t>
  </si>
  <si>
    <t>Топливно-энергетический комплекс и недропользование</t>
  </si>
  <si>
    <t>10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</si>
  <si>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</si>
  <si>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11</t>
  </si>
  <si>
    <t>Промышленность, архитектурная, градостроительная и строительная деятельность</t>
  </si>
  <si>
    <t>12</t>
  </si>
  <si>
    <t>Транспорт и коммуникации</t>
  </si>
  <si>
    <t>13</t>
  </si>
  <si>
    <t>Прочие</t>
  </si>
  <si>
    <t>14</t>
  </si>
  <si>
    <t>Обслуживание долга</t>
  </si>
  <si>
    <t>15</t>
  </si>
  <si>
    <t>Трансферты</t>
  </si>
  <si>
    <t>III. ЧИСТОЕ БЮДЖЕТНОЕ КРЕДИТОВАНИЕ</t>
  </si>
  <si>
    <t>БЮДЖЕТНЫЕ КРЕДИТЫ</t>
  </si>
  <si>
    <t>ПОГАШЕНИЕ БЮДЖЕТНЫХ КРЕДИТОВ</t>
  </si>
  <si>
    <t>5</t>
  </si>
  <si>
    <t>Погашение бюджетных кредитов</t>
  </si>
  <si>
    <t>IV. САЛЬДО ПО ОПЕРАЦИЯМ С ФИНАНСОВЫМИ АКТИВАМИ</t>
  </si>
  <si>
    <t>ПРИОБРЕТЕНИЕ ФИНАНСОВЫХ АКТИВОВ</t>
  </si>
  <si>
    <t>ПОСТУПЛЕНИЯ ОТ ПРОДАЖИ ФИНАНСОВЫХ АКТИВОВ ГОСУДАРСТВА</t>
  </si>
  <si>
    <t>6</t>
  </si>
  <si>
    <t>Поступления от продажи финансовых активов государства</t>
  </si>
  <si>
    <t>V. ДЕФИЦИТ (ПРОФИЦИТ) БЮДЖЕТА</t>
  </si>
  <si>
    <t>VI. ФИНАНСИРОВАНИЕ ДЕФИЦИТА (ИСПОЛЬЗОВАНИЕ ПРОФИЦИТА) БЮДЖЕТА</t>
  </si>
  <si>
    <t>ПОСТУПЛЕНИЕ ЗАЙМОВ</t>
  </si>
  <si>
    <t>7</t>
  </si>
  <si>
    <t>Поступления займов</t>
  </si>
  <si>
    <t>ПОГАШЕНИЕ ЗАЙМОВ</t>
  </si>
  <si>
    <t>16</t>
  </si>
  <si>
    <t>Погашение займов</t>
  </si>
  <si>
    <t>ИСПОЛЬЗУЕМЫЕ ОСТАТКИ БЮДЖЕТНЫХ СРЕДСТВ</t>
  </si>
  <si>
    <t>Справочно:
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</si>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</sst>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2" x14ac:knownFonts="1">
    <font>
      <sz val="10"/>
      <name val="Arial Cyr"/>
      <charset val="204"/>
    </font>
    <font>
      <sz val="12"/>
      <name val="KZ Arial"/>
      <family val="2"/>
      <charset val="204"/>
    </font>
    <font>
      <sz val="10"/>
      <name val="KZ Arial"/>
      <family val="2"/>
      <charset val="204"/>
    </font>
    <font>
      <sz val="8"/>
      <name val="KZ Arial"/>
      <family val="2"/>
      <charset val="204"/>
    </font>
    <font>
      <b/>
      <sz val="12"/>
      <name val="KZ Arial"/>
      <family val="2"/>
      <charset val="204"/>
    </font>
    <font>
      <i/>
      <sz val="8"/>
      <name val="KZ Arial"/>
      <family val="2"/>
      <charset val="204"/>
    </font>
    <font>
      <i/>
      <sz val="12"/>
      <name val="KZ Arial"/>
      <family val="2"/>
      <charset val="204"/>
    </font>
    <font>
      <b/>
      <u/>
      <sz val="8"/>
      <name val="KZ Arial"/>
      <family val="2"/>
      <charset val="204"/>
    </font>
    <font>
      <sz val="7"/>
      <name val="KZ Arial"/>
      <family val="2"/>
      <charset val="204"/>
    </font>
    <font>
      <b/>
      <i/>
      <sz val="10"/>
      <name val="KZ Arial"/>
      <family val="2"/>
      <charset val="204"/>
    </font>
    <font>
      <b/>
      <sz val="9"/>
      <name val="KZ Arial"/>
      <family val="2"/>
      <charset val="204"/>
    </font>
    <font>
      <b/>
      <sz val="8"/>
      <name val="KZ 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Continuous" wrapText="1"/>
    </xf>
    <xf numFmtId="0" fontId="2" fillId="0" borderId="0" xfId="0" applyFont="1" applyAlignment="1">
      <alignment horizontal="centerContinuous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Continuous"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Continuous" wrapText="1"/>
    </xf>
    <xf numFmtId="49" fontId="1" fillId="0" borderId="0" xfId="0" applyNumberFormat="1" applyFont="1" applyAlignment="1">
      <alignment horizontal="centerContinuous" wrapText="1"/>
    </xf>
    <xf numFmtId="49" fontId="2" fillId="0" borderId="0" xfId="0" applyNumberFormat="1" applyFont="1" applyAlignment="1">
      <alignment horizontal="centerContinuous" wrapText="1"/>
    </xf>
    <xf numFmtId="49" fontId="5" fillId="0" borderId="0" xfId="0" applyNumberFormat="1" applyFont="1" applyAlignment="1"/>
    <xf numFmtId="49" fontId="9" fillId="0" borderId="0" xfId="0" applyNumberFormat="1" applyFont="1" applyAlignment="1">
      <alignment horizontal="centerContinuous" wrapText="1"/>
    </xf>
    <xf numFmtId="49" fontId="3" fillId="0" borderId="0" xfId="0" applyNumberFormat="1" applyFont="1"/>
    <xf numFmtId="49" fontId="3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64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Q65"/>
  <sheetViews>
    <sheetView tabSelected="1" workbookViewId="0">
      <pane xSplit="7" ySplit="10" topLeftCell="H11" activePane="bottomRight" state="frozen"/>
      <selection pane="topRight" activeCell="H1" sqref="H1"/>
      <selection pane="bottomLeft" activeCell="A15" sqref="A15"/>
      <selection pane="bottomRight" activeCell="I12" sqref="I12"/>
    </sheetView>
  </sheetViews>
  <sheetFormatPr defaultRowHeight="10.5" x14ac:dyDescent="0.2"/>
  <cols>
    <col min="1" max="6" width="4" style="24" customWidth="1"/>
    <col min="7" max="7" width="38.140625" style="3" customWidth="1"/>
    <col min="8" max="11" width="15.140625" style="3" customWidth="1"/>
    <col min="12" max="13" width="15" style="3" customWidth="1"/>
    <col min="14" max="14" width="12" style="3" customWidth="1"/>
    <col min="15" max="15" width="15" style="3" customWidth="1"/>
    <col min="16" max="17" width="11.28515625" style="3" customWidth="1"/>
    <col min="18" max="16384" width="9.140625" style="3"/>
  </cols>
  <sheetData>
    <row r="1" spans="1:17" s="5" customFormat="1" ht="15" x14ac:dyDescent="0.2">
      <c r="A1" s="19"/>
      <c r="B1" s="20"/>
      <c r="C1" s="20"/>
      <c r="D1" s="20"/>
      <c r="E1" s="20"/>
      <c r="F1" s="20"/>
      <c r="G1" s="3"/>
      <c r="H1" s="4"/>
      <c r="I1" s="4"/>
      <c r="K1" s="6" t="s">
        <v>0</v>
      </c>
      <c r="L1" s="2"/>
      <c r="O1" s="7"/>
    </row>
    <row r="2" spans="1:17" s="5" customFormat="1" ht="15" x14ac:dyDescent="0.2">
      <c r="A2" s="21"/>
      <c r="B2" s="20"/>
      <c r="C2" s="20"/>
      <c r="D2" s="20"/>
      <c r="E2" s="20"/>
      <c r="F2" s="20"/>
      <c r="G2" s="6"/>
      <c r="H2" s="2"/>
      <c r="I2" s="6"/>
      <c r="J2" s="8"/>
      <c r="K2" s="6" t="s">
        <v>1</v>
      </c>
      <c r="L2" s="2"/>
      <c r="M2" s="9"/>
      <c r="N2" s="9"/>
      <c r="O2" s="10"/>
    </row>
    <row r="3" spans="1:17" s="5" customFormat="1" ht="15" x14ac:dyDescent="0.2">
      <c r="A3" s="22"/>
      <c r="B3" s="20"/>
      <c r="C3" s="20"/>
      <c r="D3" s="20"/>
      <c r="E3" s="20"/>
      <c r="F3" s="20"/>
      <c r="G3" s="2"/>
      <c r="H3" s="2"/>
      <c r="I3" s="18"/>
      <c r="J3" s="2"/>
      <c r="K3" s="2"/>
      <c r="L3" s="2"/>
      <c r="M3" s="2"/>
      <c r="N3" s="2"/>
      <c r="O3" s="1"/>
      <c r="P3" s="2"/>
      <c r="Q3" s="2"/>
    </row>
    <row r="4" spans="1:17" s="5" customFormat="1" ht="15" x14ac:dyDescent="0.2">
      <c r="A4" s="22" t="s">
        <v>2</v>
      </c>
      <c r="B4" s="20"/>
      <c r="C4" s="20"/>
      <c r="D4" s="20"/>
      <c r="E4" s="20"/>
      <c r="F4" s="20"/>
      <c r="G4" s="2"/>
      <c r="H4" s="2"/>
      <c r="I4" s="18"/>
      <c r="J4" s="2"/>
      <c r="K4" s="2"/>
      <c r="L4" s="2"/>
      <c r="M4" s="2"/>
      <c r="N4" s="2"/>
      <c r="O4" s="1"/>
      <c r="P4" s="2"/>
      <c r="Q4" s="2"/>
    </row>
    <row r="5" spans="1:17" s="11" customFormat="1" x14ac:dyDescent="0.15">
      <c r="A5" s="23" t="s">
        <v>3</v>
      </c>
      <c r="B5" s="23"/>
      <c r="C5" s="23"/>
      <c r="D5" s="23"/>
      <c r="E5" s="23"/>
      <c r="F5" s="23"/>
      <c r="G5" s="12" t="s">
        <v>4</v>
      </c>
      <c r="O5" s="13"/>
    </row>
    <row r="6" spans="1:17" x14ac:dyDescent="0.15">
      <c r="A6" s="23" t="s">
        <v>5</v>
      </c>
      <c r="B6" s="23"/>
      <c r="C6" s="23"/>
      <c r="D6" s="23"/>
      <c r="E6" s="23"/>
      <c r="F6" s="23"/>
      <c r="G6" s="12" t="s">
        <v>6</v>
      </c>
      <c r="H6" s="11"/>
      <c r="I6" s="11"/>
    </row>
    <row r="7" spans="1:17" s="15" customFormat="1" ht="42.75" customHeight="1" x14ac:dyDescent="0.2">
      <c r="A7" s="43" t="s">
        <v>7</v>
      </c>
      <c r="B7" s="44"/>
      <c r="C7" s="44"/>
      <c r="D7" s="44"/>
      <c r="E7" s="44"/>
      <c r="F7" s="45"/>
      <c r="G7" s="37" t="s">
        <v>8</v>
      </c>
      <c r="H7" s="37" t="s">
        <v>9</v>
      </c>
      <c r="I7" s="37" t="s">
        <v>10</v>
      </c>
      <c r="J7" s="37" t="s">
        <v>11</v>
      </c>
      <c r="K7" s="49" t="s">
        <v>12</v>
      </c>
      <c r="L7" s="50"/>
      <c r="M7" s="37" t="s">
        <v>13</v>
      </c>
      <c r="N7" s="37" t="s">
        <v>14</v>
      </c>
      <c r="O7" s="37" t="s">
        <v>15</v>
      </c>
      <c r="P7" s="37" t="s">
        <v>16</v>
      </c>
      <c r="Q7" s="39" t="s">
        <v>17</v>
      </c>
    </row>
    <row r="8" spans="1:17" s="15" customFormat="1" ht="35.25" customHeight="1" x14ac:dyDescent="0.2">
      <c r="A8" s="46"/>
      <c r="B8" s="47"/>
      <c r="C8" s="47"/>
      <c r="D8" s="47"/>
      <c r="E8" s="47"/>
      <c r="F8" s="48"/>
      <c r="G8" s="38"/>
      <c r="H8" s="38"/>
      <c r="I8" s="38"/>
      <c r="J8" s="38"/>
      <c r="K8" s="14" t="s">
        <v>18</v>
      </c>
      <c r="L8" s="14" t="s">
        <v>19</v>
      </c>
      <c r="M8" s="38"/>
      <c r="N8" s="38"/>
      <c r="O8" s="38"/>
      <c r="P8" s="38"/>
      <c r="Q8" s="39"/>
    </row>
    <row r="9" spans="1:17" ht="11.25" customHeight="1" x14ac:dyDescent="0.2">
      <c r="A9" s="40" t="s">
        <v>20</v>
      </c>
      <c r="B9" s="41"/>
      <c r="C9" s="41"/>
      <c r="D9" s="41"/>
      <c r="E9" s="41"/>
      <c r="F9" s="42"/>
      <c r="G9" s="16">
        <v>2</v>
      </c>
      <c r="H9" s="17">
        <v>3</v>
      </c>
      <c r="I9" s="17">
        <v>4</v>
      </c>
      <c r="J9" s="17">
        <v>5</v>
      </c>
      <c r="K9" s="17">
        <v>6</v>
      </c>
      <c r="L9" s="17">
        <v>7</v>
      </c>
      <c r="M9" s="17">
        <v>8</v>
      </c>
      <c r="N9" s="17">
        <v>9</v>
      </c>
      <c r="O9" s="17">
        <v>10</v>
      </c>
      <c r="P9" s="17">
        <v>11</v>
      </c>
      <c r="Q9" s="17">
        <v>12</v>
      </c>
    </row>
    <row r="10" spans="1:17" ht="12" x14ac:dyDescent="0.2">
      <c r="A10" s="25"/>
      <c r="B10" s="25"/>
      <c r="C10" s="25"/>
      <c r="D10" s="25"/>
      <c r="E10" s="25"/>
      <c r="F10" s="25"/>
      <c r="G10" s="26" t="s">
        <v>21</v>
      </c>
      <c r="H10" s="27">
        <v>11511960577.200001</v>
      </c>
      <c r="I10" s="27">
        <v>12643291567.799999</v>
      </c>
      <c r="J10" s="27">
        <v>12639876592</v>
      </c>
      <c r="K10" s="27">
        <v>12639876592</v>
      </c>
      <c r="L10" s="27"/>
      <c r="M10" s="27"/>
      <c r="N10" s="27"/>
      <c r="O10" s="27">
        <v>12758479181.321199</v>
      </c>
      <c r="P10" s="28">
        <f t="shared" ref="P10:P34" si="0">IF(K10=0,0,O10/K10*100)</f>
        <v>100.9383207854756</v>
      </c>
      <c r="Q10" s="28">
        <f t="shared" ref="Q10:Q34" si="1">IF(J10=0,0,O10/J10*100)</f>
        <v>100.9383207854756</v>
      </c>
    </row>
    <row r="11" spans="1:17" x14ac:dyDescent="0.2">
      <c r="A11" s="29"/>
      <c r="B11" s="29"/>
      <c r="C11" s="29"/>
      <c r="D11" s="29"/>
      <c r="E11" s="29"/>
      <c r="F11" s="29"/>
      <c r="G11" s="30" t="s">
        <v>22</v>
      </c>
      <c r="H11" s="31">
        <v>8820075981.2999992</v>
      </c>
      <c r="I11" s="31">
        <v>9207442062.6000004</v>
      </c>
      <c r="J11" s="31">
        <v>9205741689.3999996</v>
      </c>
      <c r="K11" s="31">
        <v>9205741689.3999996</v>
      </c>
      <c r="L11" s="31"/>
      <c r="M11" s="31"/>
      <c r="N11" s="31"/>
      <c r="O11" s="31">
        <v>9216474322.8544006</v>
      </c>
      <c r="P11" s="32">
        <f t="shared" si="0"/>
        <v>100.11658629816607</v>
      </c>
      <c r="Q11" s="32">
        <f t="shared" si="1"/>
        <v>100.11658629816607</v>
      </c>
    </row>
    <row r="12" spans="1:17" x14ac:dyDescent="0.2">
      <c r="A12" s="33" t="s">
        <v>23</v>
      </c>
      <c r="B12" s="33"/>
      <c r="C12" s="33"/>
      <c r="D12" s="33"/>
      <c r="E12" s="33"/>
      <c r="F12" s="33"/>
      <c r="G12" s="34" t="s">
        <v>24</v>
      </c>
      <c r="H12" s="35">
        <v>8820075981.2999992</v>
      </c>
      <c r="I12" s="35">
        <v>9207442062.6000004</v>
      </c>
      <c r="J12" s="35">
        <v>9205741689.3999996</v>
      </c>
      <c r="K12" s="35">
        <v>9205741689.3999996</v>
      </c>
      <c r="L12" s="35"/>
      <c r="M12" s="35"/>
      <c r="N12" s="35"/>
      <c r="O12" s="35">
        <v>9216474322.8544006</v>
      </c>
      <c r="P12" s="36">
        <f t="shared" si="0"/>
        <v>100.11658629816607</v>
      </c>
      <c r="Q12" s="36">
        <f t="shared" si="1"/>
        <v>100.11658629816607</v>
      </c>
    </row>
    <row r="13" spans="1:17" x14ac:dyDescent="0.2">
      <c r="A13" s="29"/>
      <c r="B13" s="29"/>
      <c r="C13" s="29"/>
      <c r="D13" s="29"/>
      <c r="E13" s="29"/>
      <c r="F13" s="29"/>
      <c r="G13" s="30" t="s">
        <v>25</v>
      </c>
      <c r="H13" s="31">
        <v>150512211.59999999</v>
      </c>
      <c r="I13" s="31">
        <v>269483921.10000002</v>
      </c>
      <c r="J13" s="31">
        <v>268029533.80000001</v>
      </c>
      <c r="K13" s="31">
        <v>268029533.80000001</v>
      </c>
      <c r="L13" s="31"/>
      <c r="M13" s="31"/>
      <c r="N13" s="31"/>
      <c r="O13" s="31">
        <v>354463064.91850001</v>
      </c>
      <c r="P13" s="32">
        <f t="shared" si="0"/>
        <v>132.24776385388765</v>
      </c>
      <c r="Q13" s="32">
        <f t="shared" si="1"/>
        <v>132.24776385388765</v>
      </c>
    </row>
    <row r="14" spans="1:17" x14ac:dyDescent="0.2">
      <c r="A14" s="33" t="s">
        <v>26</v>
      </c>
      <c r="B14" s="33"/>
      <c r="C14" s="33"/>
      <c r="D14" s="33"/>
      <c r="E14" s="33"/>
      <c r="F14" s="33"/>
      <c r="G14" s="34" t="s">
        <v>27</v>
      </c>
      <c r="H14" s="35">
        <v>150512211.59999999</v>
      </c>
      <c r="I14" s="35">
        <v>269483921.10000002</v>
      </c>
      <c r="J14" s="35">
        <v>268029533.80000001</v>
      </c>
      <c r="K14" s="35">
        <v>268029533.80000001</v>
      </c>
      <c r="L14" s="35"/>
      <c r="M14" s="35"/>
      <c r="N14" s="35"/>
      <c r="O14" s="35">
        <v>354463064.91869998</v>
      </c>
      <c r="P14" s="36">
        <f t="shared" si="0"/>
        <v>132.24776385396225</v>
      </c>
      <c r="Q14" s="36">
        <f t="shared" si="1"/>
        <v>132.24776385396225</v>
      </c>
    </row>
    <row r="15" spans="1:17" ht="21" x14ac:dyDescent="0.2">
      <c r="A15" s="29"/>
      <c r="B15" s="29"/>
      <c r="C15" s="29"/>
      <c r="D15" s="29"/>
      <c r="E15" s="29"/>
      <c r="F15" s="29"/>
      <c r="G15" s="30" t="s">
        <v>28</v>
      </c>
      <c r="H15" s="31">
        <v>91372384.299999997</v>
      </c>
      <c r="I15" s="31">
        <v>96365584.099999994</v>
      </c>
      <c r="J15" s="31">
        <v>96105368.799999997</v>
      </c>
      <c r="K15" s="31">
        <v>96105368.799999997</v>
      </c>
      <c r="L15" s="31"/>
      <c r="M15" s="31"/>
      <c r="N15" s="31"/>
      <c r="O15" s="31">
        <v>117541793.5483</v>
      </c>
      <c r="P15" s="32">
        <f t="shared" si="0"/>
        <v>122.30512719108361</v>
      </c>
      <c r="Q15" s="32">
        <f t="shared" si="1"/>
        <v>122.30512719108361</v>
      </c>
    </row>
    <row r="16" spans="1:17" x14ac:dyDescent="0.2">
      <c r="A16" s="33" t="s">
        <v>29</v>
      </c>
      <c r="B16" s="33"/>
      <c r="C16" s="33"/>
      <c r="D16" s="33"/>
      <c r="E16" s="33"/>
      <c r="F16" s="33"/>
      <c r="G16" s="34" t="s">
        <v>30</v>
      </c>
      <c r="H16" s="35">
        <v>91372384.299999997</v>
      </c>
      <c r="I16" s="35">
        <v>96365584.099999994</v>
      </c>
      <c r="J16" s="35">
        <v>96105368.799999997</v>
      </c>
      <c r="K16" s="35">
        <v>96105368.799999997</v>
      </c>
      <c r="L16" s="35"/>
      <c r="M16" s="35"/>
      <c r="N16" s="35"/>
      <c r="O16" s="35">
        <v>117541793.5483</v>
      </c>
      <c r="P16" s="36">
        <f t="shared" si="0"/>
        <v>122.30512719108361</v>
      </c>
      <c r="Q16" s="36">
        <f t="shared" si="1"/>
        <v>122.30512719108361</v>
      </c>
    </row>
    <row r="17" spans="1:17" x14ac:dyDescent="0.2">
      <c r="A17" s="29"/>
      <c r="B17" s="29"/>
      <c r="C17" s="29"/>
      <c r="D17" s="29"/>
      <c r="E17" s="29"/>
      <c r="F17" s="29"/>
      <c r="G17" s="30" t="s">
        <v>31</v>
      </c>
      <c r="H17" s="31">
        <v>2450000000</v>
      </c>
      <c r="I17" s="31">
        <v>3070000000</v>
      </c>
      <c r="J17" s="31">
        <v>3070000000</v>
      </c>
      <c r="K17" s="31">
        <v>3070000000</v>
      </c>
      <c r="L17" s="31"/>
      <c r="M17" s="31"/>
      <c r="N17" s="31"/>
      <c r="O17" s="31">
        <v>3070000000</v>
      </c>
      <c r="P17" s="32">
        <f t="shared" si="0"/>
        <v>100</v>
      </c>
      <c r="Q17" s="32">
        <f t="shared" si="1"/>
        <v>100</v>
      </c>
    </row>
    <row r="18" spans="1:17" x14ac:dyDescent="0.2">
      <c r="A18" s="33" t="s">
        <v>32</v>
      </c>
      <c r="B18" s="33"/>
      <c r="C18" s="33"/>
      <c r="D18" s="33"/>
      <c r="E18" s="33"/>
      <c r="F18" s="33"/>
      <c r="G18" s="34" t="s">
        <v>33</v>
      </c>
      <c r="H18" s="35">
        <v>2450000000</v>
      </c>
      <c r="I18" s="35">
        <v>3070000000</v>
      </c>
      <c r="J18" s="35">
        <v>3070000000</v>
      </c>
      <c r="K18" s="35">
        <v>3070000000</v>
      </c>
      <c r="L18" s="35"/>
      <c r="M18" s="35"/>
      <c r="N18" s="35"/>
      <c r="O18" s="35">
        <v>3070000000</v>
      </c>
      <c r="P18" s="36">
        <f t="shared" si="0"/>
        <v>100</v>
      </c>
      <c r="Q18" s="36">
        <f t="shared" si="1"/>
        <v>100</v>
      </c>
    </row>
    <row r="19" spans="1:17" ht="12" x14ac:dyDescent="0.2">
      <c r="A19" s="25"/>
      <c r="B19" s="25"/>
      <c r="C19" s="25"/>
      <c r="D19" s="25"/>
      <c r="E19" s="25"/>
      <c r="F19" s="25"/>
      <c r="G19" s="26" t="s">
        <v>34</v>
      </c>
      <c r="H19" s="27">
        <v>13023382623.200001</v>
      </c>
      <c r="I19" s="27">
        <v>14916234190.5</v>
      </c>
      <c r="J19" s="27">
        <v>13577906015.2001</v>
      </c>
      <c r="K19" s="27">
        <v>13577906015.2001</v>
      </c>
      <c r="L19" s="27">
        <v>13577906015.2001</v>
      </c>
      <c r="M19" s="27">
        <v>13545870358.602301</v>
      </c>
      <c r="N19" s="27">
        <f t="shared" ref="N19:N34" si="2">M19-O19</f>
        <v>10289021.842300415</v>
      </c>
      <c r="O19" s="27">
        <v>13535581336.76</v>
      </c>
      <c r="P19" s="28">
        <f t="shared" si="0"/>
        <v>99.688282726418066</v>
      </c>
      <c r="Q19" s="28">
        <f t="shared" si="1"/>
        <v>99.688282726418066</v>
      </c>
    </row>
    <row r="20" spans="1:17" x14ac:dyDescent="0.2">
      <c r="A20" s="33" t="s">
        <v>35</v>
      </c>
      <c r="B20" s="33"/>
      <c r="C20" s="33"/>
      <c r="D20" s="33"/>
      <c r="E20" s="33"/>
      <c r="F20" s="33"/>
      <c r="G20" s="34" t="s">
        <v>36</v>
      </c>
      <c r="H20" s="35">
        <v>600118839.29999995</v>
      </c>
      <c r="I20" s="35">
        <v>708111891.79999995</v>
      </c>
      <c r="J20" s="35">
        <v>745424984.20000005</v>
      </c>
      <c r="K20" s="35">
        <v>745424984.20000005</v>
      </c>
      <c r="L20" s="35">
        <v>745424984.20000005</v>
      </c>
      <c r="M20" s="35">
        <v>744640665.56910002</v>
      </c>
      <c r="N20" s="35">
        <f t="shared" si="2"/>
        <v>512225.05509996414</v>
      </c>
      <c r="O20" s="35">
        <v>744128440.51400006</v>
      </c>
      <c r="P20" s="36">
        <f t="shared" si="0"/>
        <v>99.826066510583701</v>
      </c>
      <c r="Q20" s="36">
        <f t="shared" si="1"/>
        <v>99.826066510583701</v>
      </c>
    </row>
    <row r="21" spans="1:17" x14ac:dyDescent="0.2">
      <c r="A21" s="33" t="s">
        <v>37</v>
      </c>
      <c r="B21" s="33"/>
      <c r="C21" s="33"/>
      <c r="D21" s="33"/>
      <c r="E21" s="33"/>
      <c r="F21" s="33"/>
      <c r="G21" s="34" t="s">
        <v>38</v>
      </c>
      <c r="H21" s="35">
        <v>638643704.20000005</v>
      </c>
      <c r="I21" s="35">
        <v>731377126.20000005</v>
      </c>
      <c r="J21" s="35">
        <v>738922604.79999995</v>
      </c>
      <c r="K21" s="35">
        <v>738922604.79999995</v>
      </c>
      <c r="L21" s="35">
        <v>738922604.79999995</v>
      </c>
      <c r="M21" s="35">
        <v>738734794.48969996</v>
      </c>
      <c r="N21" s="35">
        <f t="shared" si="2"/>
        <v>79516.532199978828</v>
      </c>
      <c r="O21" s="35">
        <v>738655277.95749998</v>
      </c>
      <c r="P21" s="36">
        <f t="shared" si="0"/>
        <v>99.963822078149533</v>
      </c>
      <c r="Q21" s="36">
        <f t="shared" si="1"/>
        <v>99.963822078149533</v>
      </c>
    </row>
    <row r="22" spans="1:17" ht="31.5" x14ac:dyDescent="0.2">
      <c r="A22" s="33" t="s">
        <v>39</v>
      </c>
      <c r="B22" s="33"/>
      <c r="C22" s="33"/>
      <c r="D22" s="33"/>
      <c r="E22" s="33"/>
      <c r="F22" s="33"/>
      <c r="G22" s="34" t="s">
        <v>40</v>
      </c>
      <c r="H22" s="35">
        <v>809623447.70000005</v>
      </c>
      <c r="I22" s="35">
        <v>842665719.79999995</v>
      </c>
      <c r="J22" s="35">
        <v>833815344.89999998</v>
      </c>
      <c r="K22" s="35">
        <v>833815344.89999998</v>
      </c>
      <c r="L22" s="35">
        <v>833815344.89999998</v>
      </c>
      <c r="M22" s="35">
        <v>833675617.02499998</v>
      </c>
      <c r="N22" s="35">
        <f t="shared" si="2"/>
        <v>370118.42059993744</v>
      </c>
      <c r="O22" s="35">
        <v>833305498.60440004</v>
      </c>
      <c r="P22" s="36">
        <f t="shared" si="0"/>
        <v>99.938853812331658</v>
      </c>
      <c r="Q22" s="36">
        <f t="shared" si="1"/>
        <v>99.938853812331658</v>
      </c>
    </row>
    <row r="23" spans="1:17" x14ac:dyDescent="0.2">
      <c r="A23" s="33" t="s">
        <v>41</v>
      </c>
      <c r="B23" s="33"/>
      <c r="C23" s="33"/>
      <c r="D23" s="33"/>
      <c r="E23" s="33"/>
      <c r="F23" s="33"/>
      <c r="G23" s="34" t="s">
        <v>42</v>
      </c>
      <c r="H23" s="35">
        <v>2415057784.1999998</v>
      </c>
      <c r="I23" s="35">
        <v>2582682819.9000001</v>
      </c>
      <c r="J23" s="35">
        <v>2336436611.6999998</v>
      </c>
      <c r="K23" s="35">
        <v>2336436611.6999998</v>
      </c>
      <c r="L23" s="35">
        <v>2336436611.6999998</v>
      </c>
      <c r="M23" s="35">
        <v>2333669758.3083</v>
      </c>
      <c r="N23" s="35">
        <f t="shared" si="2"/>
        <v>1634404.2459001541</v>
      </c>
      <c r="O23" s="35">
        <v>2332035354.0623999</v>
      </c>
      <c r="P23" s="36">
        <f t="shared" si="0"/>
        <v>99.811625206711781</v>
      </c>
      <c r="Q23" s="36">
        <f t="shared" si="1"/>
        <v>99.811625206711781</v>
      </c>
    </row>
    <row r="24" spans="1:17" x14ac:dyDescent="0.2">
      <c r="A24" s="33" t="s">
        <v>43</v>
      </c>
      <c r="B24" s="33"/>
      <c r="C24" s="33"/>
      <c r="D24" s="33"/>
      <c r="E24" s="33"/>
      <c r="F24" s="33"/>
      <c r="G24" s="34" t="s">
        <v>44</v>
      </c>
      <c r="H24" s="35">
        <v>1272253570.0999999</v>
      </c>
      <c r="I24" s="35">
        <v>1373201374.3</v>
      </c>
      <c r="J24" s="35">
        <v>1293562720.3</v>
      </c>
      <c r="K24" s="35">
        <v>1293562720.3</v>
      </c>
      <c r="L24" s="35">
        <v>1293562720.3</v>
      </c>
      <c r="M24" s="35">
        <v>1292301959.7147</v>
      </c>
      <c r="N24" s="35">
        <f t="shared" si="2"/>
        <v>512900.00670003891</v>
      </c>
      <c r="O24" s="35">
        <v>1291789059.7079999</v>
      </c>
      <c r="P24" s="36">
        <f t="shared" si="0"/>
        <v>99.862885613185526</v>
      </c>
      <c r="Q24" s="36">
        <f t="shared" si="1"/>
        <v>99.862885613185526</v>
      </c>
    </row>
    <row r="25" spans="1:17" x14ac:dyDescent="0.2">
      <c r="A25" s="33" t="s">
        <v>45</v>
      </c>
      <c r="B25" s="33"/>
      <c r="C25" s="33"/>
      <c r="D25" s="33"/>
      <c r="E25" s="33"/>
      <c r="F25" s="33"/>
      <c r="G25" s="34" t="s">
        <v>46</v>
      </c>
      <c r="H25" s="35">
        <v>3194653873</v>
      </c>
      <c r="I25" s="35">
        <v>3736004473.9000001</v>
      </c>
      <c r="J25" s="35">
        <v>3478815667.0999999</v>
      </c>
      <c r="K25" s="35">
        <v>3478815667.0999999</v>
      </c>
      <c r="L25" s="35">
        <v>3478815667.0999999</v>
      </c>
      <c r="M25" s="35">
        <v>3466894120.9520001</v>
      </c>
      <c r="N25" s="35">
        <f t="shared" si="2"/>
        <v>170386.53439998627</v>
      </c>
      <c r="O25" s="35">
        <v>3466723734.4176002</v>
      </c>
      <c r="P25" s="36">
        <f t="shared" si="0"/>
        <v>99.652412377098443</v>
      </c>
      <c r="Q25" s="36">
        <f t="shared" si="1"/>
        <v>99.652412377098443</v>
      </c>
    </row>
    <row r="26" spans="1:17" x14ac:dyDescent="0.2">
      <c r="A26" s="33" t="s">
        <v>47</v>
      </c>
      <c r="B26" s="33"/>
      <c r="C26" s="33"/>
      <c r="D26" s="33"/>
      <c r="E26" s="33"/>
      <c r="F26" s="33"/>
      <c r="G26" s="34" t="s">
        <v>48</v>
      </c>
      <c r="H26" s="35">
        <v>810350851.60000002</v>
      </c>
      <c r="I26" s="35">
        <v>1200154536.5999999</v>
      </c>
      <c r="J26" s="35">
        <v>921115980.20000005</v>
      </c>
      <c r="K26" s="35">
        <v>921115980.20000005</v>
      </c>
      <c r="L26" s="35">
        <v>921115980.20000005</v>
      </c>
      <c r="M26" s="35">
        <v>916482974.62839997</v>
      </c>
      <c r="N26" s="35">
        <f t="shared" si="2"/>
        <v>2832770.7271000147</v>
      </c>
      <c r="O26" s="35">
        <v>913650203.90129995</v>
      </c>
      <c r="P26" s="36">
        <f t="shared" si="0"/>
        <v>99.189485747812228</v>
      </c>
      <c r="Q26" s="36">
        <f t="shared" si="1"/>
        <v>99.189485747812228</v>
      </c>
    </row>
    <row r="27" spans="1:17" ht="21" x14ac:dyDescent="0.2">
      <c r="A27" s="33" t="s">
        <v>49</v>
      </c>
      <c r="B27" s="33"/>
      <c r="C27" s="33"/>
      <c r="D27" s="33"/>
      <c r="E27" s="33"/>
      <c r="F27" s="33"/>
      <c r="G27" s="34" t="s">
        <v>50</v>
      </c>
      <c r="H27" s="35">
        <v>407972788.10000002</v>
      </c>
      <c r="I27" s="35">
        <v>461012102</v>
      </c>
      <c r="J27" s="35">
        <v>457414677.80000001</v>
      </c>
      <c r="K27" s="35">
        <v>457414677.80000001</v>
      </c>
      <c r="L27" s="35">
        <v>457414677.80000001</v>
      </c>
      <c r="M27" s="35">
        <v>456377716.2446</v>
      </c>
      <c r="N27" s="35">
        <f t="shared" si="2"/>
        <v>176773.5</v>
      </c>
      <c r="O27" s="35">
        <v>456200942.7446</v>
      </c>
      <c r="P27" s="36">
        <f t="shared" si="0"/>
        <v>99.734653233858253</v>
      </c>
      <c r="Q27" s="36">
        <f t="shared" si="1"/>
        <v>99.734653233858253</v>
      </c>
    </row>
    <row r="28" spans="1:17" ht="21" x14ac:dyDescent="0.2">
      <c r="A28" s="33" t="s">
        <v>51</v>
      </c>
      <c r="B28" s="33"/>
      <c r="C28" s="33"/>
      <c r="D28" s="33"/>
      <c r="E28" s="33"/>
      <c r="F28" s="33"/>
      <c r="G28" s="34" t="s">
        <v>52</v>
      </c>
      <c r="H28" s="35">
        <v>162441566</v>
      </c>
      <c r="I28" s="35">
        <v>164172872.59999999</v>
      </c>
      <c r="J28" s="35">
        <v>128069857.40000001</v>
      </c>
      <c r="K28" s="35">
        <v>128069857.40000001</v>
      </c>
      <c r="L28" s="35">
        <v>128069857.40000001</v>
      </c>
      <c r="M28" s="35">
        <v>128011744.4906</v>
      </c>
      <c r="N28" s="35">
        <f t="shared" si="2"/>
        <v>139993.10520000756</v>
      </c>
      <c r="O28" s="35">
        <v>127871751.3854</v>
      </c>
      <c r="P28" s="36">
        <f t="shared" si="0"/>
        <v>99.84531409761685</v>
      </c>
      <c r="Q28" s="36">
        <f t="shared" si="1"/>
        <v>99.84531409761685</v>
      </c>
    </row>
    <row r="29" spans="1:17" ht="42" x14ac:dyDescent="0.2">
      <c r="A29" s="33" t="s">
        <v>53</v>
      </c>
      <c r="B29" s="33"/>
      <c r="C29" s="33"/>
      <c r="D29" s="33"/>
      <c r="E29" s="33"/>
      <c r="F29" s="33"/>
      <c r="G29" s="34" t="s">
        <v>54</v>
      </c>
      <c r="H29" s="35">
        <v>632097723.89999998</v>
      </c>
      <c r="I29" s="35">
        <v>636553188.29999995</v>
      </c>
      <c r="J29" s="35">
        <v>584148735.79999995</v>
      </c>
      <c r="K29" s="35">
        <v>584148735.79999995</v>
      </c>
      <c r="L29" s="35">
        <v>584148735.79999995</v>
      </c>
      <c r="M29" s="35">
        <v>583638308.00960004</v>
      </c>
      <c r="N29" s="35">
        <f t="shared" si="2"/>
        <v>228415.85989999771</v>
      </c>
      <c r="O29" s="35">
        <v>583409892.14970005</v>
      </c>
      <c r="P29" s="36">
        <f t="shared" si="0"/>
        <v>99.873517889362873</v>
      </c>
      <c r="Q29" s="36">
        <f t="shared" si="1"/>
        <v>99.873517889362873</v>
      </c>
    </row>
    <row r="30" spans="1:17" ht="31.5" x14ac:dyDescent="0.2">
      <c r="A30" s="33" t="s">
        <v>55</v>
      </c>
      <c r="B30" s="33"/>
      <c r="C30" s="33"/>
      <c r="D30" s="33"/>
      <c r="E30" s="33"/>
      <c r="F30" s="33"/>
      <c r="G30" s="34" t="s">
        <v>56</v>
      </c>
      <c r="H30" s="35">
        <v>42187608.700000003</v>
      </c>
      <c r="I30" s="35">
        <v>47596439.200000003</v>
      </c>
      <c r="J30" s="35">
        <v>72903900.600099996</v>
      </c>
      <c r="K30" s="35">
        <v>72903900.600099996</v>
      </c>
      <c r="L30" s="35">
        <v>72903900.600099996</v>
      </c>
      <c r="M30" s="35">
        <v>70574278.219899997</v>
      </c>
      <c r="N30" s="35">
        <f t="shared" si="2"/>
        <v>1008264.0976999998</v>
      </c>
      <c r="O30" s="35">
        <v>69566014.122199997</v>
      </c>
      <c r="P30" s="36">
        <f t="shared" si="0"/>
        <v>95.421525528230205</v>
      </c>
      <c r="Q30" s="36">
        <f t="shared" si="1"/>
        <v>95.421525528230205</v>
      </c>
    </row>
    <row r="31" spans="1:17" x14ac:dyDescent="0.2">
      <c r="A31" s="33" t="s">
        <v>57</v>
      </c>
      <c r="B31" s="33"/>
      <c r="C31" s="33"/>
      <c r="D31" s="33"/>
      <c r="E31" s="33"/>
      <c r="F31" s="33"/>
      <c r="G31" s="34" t="s">
        <v>58</v>
      </c>
      <c r="H31" s="35">
        <v>1016882891.1</v>
      </c>
      <c r="I31" s="35">
        <v>1111047114.8</v>
      </c>
      <c r="J31" s="35">
        <v>894873545.79999995</v>
      </c>
      <c r="K31" s="35">
        <v>894873545.79999995</v>
      </c>
      <c r="L31" s="35">
        <v>894873545.79999995</v>
      </c>
      <c r="M31" s="35">
        <v>894306209.09249997</v>
      </c>
      <c r="N31" s="35">
        <f t="shared" si="2"/>
        <v>683780.09959995747</v>
      </c>
      <c r="O31" s="35">
        <v>893622428.99290001</v>
      </c>
      <c r="P31" s="36">
        <f t="shared" si="0"/>
        <v>99.860190659007415</v>
      </c>
      <c r="Q31" s="36">
        <f t="shared" si="1"/>
        <v>99.860190659007415</v>
      </c>
    </row>
    <row r="32" spans="1:17" x14ac:dyDescent="0.2">
      <c r="A32" s="33" t="s">
        <v>59</v>
      </c>
      <c r="B32" s="33"/>
      <c r="C32" s="33"/>
      <c r="D32" s="33"/>
      <c r="E32" s="33"/>
      <c r="F32" s="33"/>
      <c r="G32" s="34" t="s">
        <v>60</v>
      </c>
      <c r="H32" s="35">
        <v>346886699.30000001</v>
      </c>
      <c r="I32" s="35">
        <v>631401021.60000002</v>
      </c>
      <c r="J32" s="35">
        <v>410211288.10000002</v>
      </c>
      <c r="K32" s="35">
        <v>410211288.10000002</v>
      </c>
      <c r="L32" s="35">
        <v>410211288.10000002</v>
      </c>
      <c r="M32" s="35">
        <v>404481392.6523</v>
      </c>
      <c r="N32" s="35">
        <f t="shared" si="2"/>
        <v>1924409.7085000277</v>
      </c>
      <c r="O32" s="35">
        <v>402556982.94379997</v>
      </c>
      <c r="P32" s="36">
        <f t="shared" si="0"/>
        <v>98.134057892055353</v>
      </c>
      <c r="Q32" s="36">
        <f t="shared" si="1"/>
        <v>98.134057892055353</v>
      </c>
    </row>
    <row r="33" spans="1:17" x14ac:dyDescent="0.2">
      <c r="A33" s="33" t="s">
        <v>61</v>
      </c>
      <c r="B33" s="33"/>
      <c r="C33" s="33"/>
      <c r="D33" s="33"/>
      <c r="E33" s="33"/>
      <c r="F33" s="33"/>
      <c r="G33" s="34" t="s">
        <v>62</v>
      </c>
      <c r="H33" s="35">
        <v>671647990</v>
      </c>
      <c r="I33" s="35">
        <v>687831445.89999998</v>
      </c>
      <c r="J33" s="35">
        <v>679768032.89999998</v>
      </c>
      <c r="K33" s="35">
        <v>679768032.89999998</v>
      </c>
      <c r="L33" s="35">
        <v>679768032.89999998</v>
      </c>
      <c r="M33" s="35">
        <v>679658757.28690004</v>
      </c>
      <c r="N33" s="35">
        <f t="shared" si="2"/>
        <v>15063.952000021935</v>
      </c>
      <c r="O33" s="35">
        <v>679643693.33490002</v>
      </c>
      <c r="P33" s="36">
        <f t="shared" si="0"/>
        <v>99.981708530104086</v>
      </c>
      <c r="Q33" s="36">
        <f t="shared" si="1"/>
        <v>99.981708530104086</v>
      </c>
    </row>
    <row r="34" spans="1:17" x14ac:dyDescent="0.2">
      <c r="A34" s="33" t="s">
        <v>63</v>
      </c>
      <c r="B34" s="33"/>
      <c r="C34" s="33"/>
      <c r="D34" s="33"/>
      <c r="E34" s="33"/>
      <c r="F34" s="33"/>
      <c r="G34" s="34" t="s">
        <v>64</v>
      </c>
      <c r="H34" s="35">
        <v>2563286</v>
      </c>
      <c r="I34" s="35">
        <v>2422063.6</v>
      </c>
      <c r="J34" s="35">
        <v>2422063.6</v>
      </c>
      <c r="K34" s="35">
        <v>2422063.6</v>
      </c>
      <c r="L34" s="35">
        <v>2422063.6</v>
      </c>
      <c r="M34" s="35">
        <v>2422061.9210000001</v>
      </c>
      <c r="N34" s="35">
        <f t="shared" si="2"/>
        <v>0</v>
      </c>
      <c r="O34" s="35">
        <v>2422061.9210000001</v>
      </c>
      <c r="P34" s="36">
        <f t="shared" si="0"/>
        <v>99.999930678946654</v>
      </c>
      <c r="Q34" s="36">
        <f t="shared" si="1"/>
        <v>99.999930678946654</v>
      </c>
    </row>
    <row r="35" spans="1:17" ht="24" x14ac:dyDescent="0.2">
      <c r="A35" s="25"/>
      <c r="B35" s="25"/>
      <c r="C35" s="25"/>
      <c r="D35" s="25"/>
      <c r="E35" s="25"/>
      <c r="F35" s="25"/>
      <c r="G35" s="26" t="s">
        <v>65</v>
      </c>
      <c r="H35" s="27">
        <v>156257287.59999999</v>
      </c>
      <c r="I35" s="27">
        <v>269225916.39999998</v>
      </c>
      <c r="J35" s="27">
        <v>267124872.69999999</v>
      </c>
      <c r="K35" s="27">
        <v>267124872.69999999</v>
      </c>
      <c r="L35" s="27"/>
      <c r="M35" s="27"/>
      <c r="N35" s="27"/>
      <c r="O35" s="27">
        <v>262880837.21700001</v>
      </c>
      <c r="P35" s="28"/>
      <c r="Q35" s="28"/>
    </row>
    <row r="36" spans="1:17" x14ac:dyDescent="0.2">
      <c r="A36" s="29"/>
      <c r="B36" s="29"/>
      <c r="C36" s="29"/>
      <c r="D36" s="29"/>
      <c r="E36" s="29"/>
      <c r="F36" s="29"/>
      <c r="G36" s="30" t="s">
        <v>66</v>
      </c>
      <c r="H36" s="31">
        <v>269069163</v>
      </c>
      <c r="I36" s="31">
        <v>394589795</v>
      </c>
      <c r="J36" s="31">
        <v>392966624.30000001</v>
      </c>
      <c r="K36" s="31">
        <v>392966624.30000001</v>
      </c>
      <c r="L36" s="31">
        <v>392966624.30000001</v>
      </c>
      <c r="M36" s="31">
        <v>392948149.09979999</v>
      </c>
      <c r="N36" s="31">
        <f t="shared" ref="N36:N43" si="3">M36-O36</f>
        <v>0</v>
      </c>
      <c r="O36" s="31">
        <v>392948149.09979999</v>
      </c>
      <c r="P36" s="32">
        <f t="shared" ref="P36:P45" si="4">IF(K36=0,0,O36/K36*100)</f>
        <v>99.995298531972537</v>
      </c>
      <c r="Q36" s="32">
        <f t="shared" ref="Q36:Q45" si="5">IF(J36=0,0,O36/J36*100)</f>
        <v>99.995298531972537</v>
      </c>
    </row>
    <row r="37" spans="1:17" x14ac:dyDescent="0.2">
      <c r="A37" s="33" t="s">
        <v>45</v>
      </c>
      <c r="B37" s="33"/>
      <c r="C37" s="33"/>
      <c r="D37" s="33"/>
      <c r="E37" s="33"/>
      <c r="F37" s="33"/>
      <c r="G37" s="34" t="s">
        <v>46</v>
      </c>
      <c r="H37" s="35">
        <v>2231812</v>
      </c>
      <c r="I37" s="35">
        <v>2292406</v>
      </c>
      <c r="J37" s="35">
        <v>1898406</v>
      </c>
      <c r="K37" s="35">
        <v>1898406</v>
      </c>
      <c r="L37" s="35">
        <v>1898406</v>
      </c>
      <c r="M37" s="35">
        <v>1898405.925</v>
      </c>
      <c r="N37" s="35">
        <f t="shared" si="3"/>
        <v>0</v>
      </c>
      <c r="O37" s="35">
        <v>1898405.925</v>
      </c>
      <c r="P37" s="36">
        <f t="shared" si="4"/>
        <v>99.999996049317161</v>
      </c>
      <c r="Q37" s="36">
        <f t="shared" si="5"/>
        <v>99.999996049317161</v>
      </c>
    </row>
    <row r="38" spans="1:17" x14ac:dyDescent="0.2">
      <c r="A38" s="33" t="s">
        <v>47</v>
      </c>
      <c r="B38" s="33"/>
      <c r="C38" s="33"/>
      <c r="D38" s="33"/>
      <c r="E38" s="33"/>
      <c r="F38" s="33"/>
      <c r="G38" s="34" t="s">
        <v>48</v>
      </c>
      <c r="H38" s="35">
        <v>39080516</v>
      </c>
      <c r="I38" s="35">
        <v>41839319</v>
      </c>
      <c r="J38" s="35">
        <v>41813356</v>
      </c>
      <c r="K38" s="35">
        <v>41813356</v>
      </c>
      <c r="L38" s="35">
        <v>41813356</v>
      </c>
      <c r="M38" s="35">
        <v>41813355.0057</v>
      </c>
      <c r="N38" s="35">
        <f t="shared" si="3"/>
        <v>0</v>
      </c>
      <c r="O38" s="35">
        <v>41813355.0057</v>
      </c>
      <c r="P38" s="36">
        <f t="shared" si="4"/>
        <v>99.999997622051666</v>
      </c>
      <c r="Q38" s="36">
        <f t="shared" si="5"/>
        <v>99.999997622051666</v>
      </c>
    </row>
    <row r="39" spans="1:17" ht="21" x14ac:dyDescent="0.2">
      <c r="A39" s="33" t="s">
        <v>51</v>
      </c>
      <c r="B39" s="33"/>
      <c r="C39" s="33"/>
      <c r="D39" s="33"/>
      <c r="E39" s="33"/>
      <c r="F39" s="33"/>
      <c r="G39" s="34" t="s">
        <v>52</v>
      </c>
      <c r="H39" s="35">
        <v>0</v>
      </c>
      <c r="I39" s="35">
        <v>23546000</v>
      </c>
      <c r="J39" s="35">
        <v>23546000</v>
      </c>
      <c r="K39" s="35">
        <v>23546000</v>
      </c>
      <c r="L39" s="35">
        <v>23546000</v>
      </c>
      <c r="M39" s="35">
        <v>23546000</v>
      </c>
      <c r="N39" s="35">
        <f t="shared" si="3"/>
        <v>0</v>
      </c>
      <c r="O39" s="35">
        <v>23546000</v>
      </c>
      <c r="P39" s="36">
        <f t="shared" si="4"/>
        <v>100</v>
      </c>
      <c r="Q39" s="36">
        <f t="shared" si="5"/>
        <v>100</v>
      </c>
    </row>
    <row r="40" spans="1:17" ht="42" x14ac:dyDescent="0.2">
      <c r="A40" s="33" t="s">
        <v>53</v>
      </c>
      <c r="B40" s="33"/>
      <c r="C40" s="33"/>
      <c r="D40" s="33"/>
      <c r="E40" s="33"/>
      <c r="F40" s="33"/>
      <c r="G40" s="34" t="s">
        <v>54</v>
      </c>
      <c r="H40" s="35">
        <v>120198727</v>
      </c>
      <c r="I40" s="35">
        <v>148513706</v>
      </c>
      <c r="J40" s="35">
        <v>147310498.30000001</v>
      </c>
      <c r="K40" s="35">
        <v>147310498.30000001</v>
      </c>
      <c r="L40" s="35">
        <v>147310498.30000001</v>
      </c>
      <c r="M40" s="35">
        <v>147294625.185</v>
      </c>
      <c r="N40" s="35">
        <f t="shared" si="3"/>
        <v>0</v>
      </c>
      <c r="O40" s="35">
        <v>147294625.185</v>
      </c>
      <c r="P40" s="36">
        <f t="shared" si="4"/>
        <v>99.989224722485375</v>
      </c>
      <c r="Q40" s="36">
        <f t="shared" si="5"/>
        <v>99.989224722485375</v>
      </c>
    </row>
    <row r="41" spans="1:17" ht="31.5" x14ac:dyDescent="0.2">
      <c r="A41" s="33" t="s">
        <v>55</v>
      </c>
      <c r="B41" s="33"/>
      <c r="C41" s="33"/>
      <c r="D41" s="33"/>
      <c r="E41" s="33"/>
      <c r="F41" s="33"/>
      <c r="G41" s="34" t="s">
        <v>56</v>
      </c>
      <c r="H41" s="35">
        <v>10000000</v>
      </c>
      <c r="I41" s="35">
        <v>10000000</v>
      </c>
      <c r="J41" s="35">
        <v>10000000</v>
      </c>
      <c r="K41" s="35">
        <v>10000000</v>
      </c>
      <c r="L41" s="35">
        <v>10000000</v>
      </c>
      <c r="M41" s="35">
        <v>10000000</v>
      </c>
      <c r="N41" s="35">
        <f t="shared" si="3"/>
        <v>0</v>
      </c>
      <c r="O41" s="35">
        <v>10000000</v>
      </c>
      <c r="P41" s="36">
        <f t="shared" si="4"/>
        <v>100</v>
      </c>
      <c r="Q41" s="36">
        <f t="shared" si="5"/>
        <v>100</v>
      </c>
    </row>
    <row r="42" spans="1:17" x14ac:dyDescent="0.2">
      <c r="A42" s="33" t="s">
        <v>57</v>
      </c>
      <c r="B42" s="33"/>
      <c r="C42" s="33"/>
      <c r="D42" s="33"/>
      <c r="E42" s="33"/>
      <c r="F42" s="33"/>
      <c r="G42" s="34" t="s">
        <v>58</v>
      </c>
      <c r="H42" s="35">
        <v>11258978</v>
      </c>
      <c r="I42" s="35">
        <v>30000000</v>
      </c>
      <c r="J42" s="35">
        <v>30000000</v>
      </c>
      <c r="K42" s="35">
        <v>30000000</v>
      </c>
      <c r="L42" s="35">
        <v>30000000</v>
      </c>
      <c r="M42" s="35">
        <v>30000000</v>
      </c>
      <c r="N42" s="35">
        <f t="shared" si="3"/>
        <v>0</v>
      </c>
      <c r="O42" s="35">
        <v>30000000</v>
      </c>
      <c r="P42" s="36">
        <f t="shared" si="4"/>
        <v>100</v>
      </c>
      <c r="Q42" s="36">
        <f t="shared" si="5"/>
        <v>100</v>
      </c>
    </row>
    <row r="43" spans="1:17" x14ac:dyDescent="0.2">
      <c r="A43" s="33" t="s">
        <v>59</v>
      </c>
      <c r="B43" s="33"/>
      <c r="C43" s="33"/>
      <c r="D43" s="33"/>
      <c r="E43" s="33"/>
      <c r="F43" s="33"/>
      <c r="G43" s="34" t="s">
        <v>60</v>
      </c>
      <c r="H43" s="35">
        <v>86299130</v>
      </c>
      <c r="I43" s="35">
        <v>138398364</v>
      </c>
      <c r="J43" s="35">
        <v>138398364</v>
      </c>
      <c r="K43" s="35">
        <v>138398364</v>
      </c>
      <c r="L43" s="35">
        <v>138398364</v>
      </c>
      <c r="M43" s="35">
        <v>138395762.9842</v>
      </c>
      <c r="N43" s="35">
        <f t="shared" si="3"/>
        <v>0</v>
      </c>
      <c r="O43" s="35">
        <v>138395762.9842</v>
      </c>
      <c r="P43" s="36">
        <f t="shared" si="4"/>
        <v>99.998120631108037</v>
      </c>
      <c r="Q43" s="36">
        <f t="shared" si="5"/>
        <v>99.998120631108037</v>
      </c>
    </row>
    <row r="44" spans="1:17" x14ac:dyDescent="0.2">
      <c r="A44" s="29"/>
      <c r="B44" s="29"/>
      <c r="C44" s="29"/>
      <c r="D44" s="29"/>
      <c r="E44" s="29"/>
      <c r="F44" s="29"/>
      <c r="G44" s="30" t="s">
        <v>67</v>
      </c>
      <c r="H44" s="31">
        <v>112811875.40000001</v>
      </c>
      <c r="I44" s="31">
        <v>125363878.59999999</v>
      </c>
      <c r="J44" s="31">
        <v>125841751.59999999</v>
      </c>
      <c r="K44" s="31">
        <v>125841751.59999999</v>
      </c>
      <c r="L44" s="31"/>
      <c r="M44" s="31"/>
      <c r="N44" s="31"/>
      <c r="O44" s="31">
        <v>130067311.8828</v>
      </c>
      <c r="P44" s="32">
        <f t="shared" si="4"/>
        <v>103.35783651218664</v>
      </c>
      <c r="Q44" s="32">
        <f t="shared" si="5"/>
        <v>103.35783651218664</v>
      </c>
    </row>
    <row r="45" spans="1:17" x14ac:dyDescent="0.2">
      <c r="A45" s="33" t="s">
        <v>68</v>
      </c>
      <c r="B45" s="33"/>
      <c r="C45" s="33"/>
      <c r="D45" s="33"/>
      <c r="E45" s="33"/>
      <c r="F45" s="33"/>
      <c r="G45" s="34" t="s">
        <v>69</v>
      </c>
      <c r="H45" s="35">
        <v>112811875.40000001</v>
      </c>
      <c r="I45" s="35">
        <v>125363878.59999999</v>
      </c>
      <c r="J45" s="35">
        <v>125841751.59999999</v>
      </c>
      <c r="K45" s="35">
        <v>125841751.59999999</v>
      </c>
      <c r="L45" s="35"/>
      <c r="M45" s="35"/>
      <c r="N45" s="35"/>
      <c r="O45" s="35">
        <v>130067311.8827</v>
      </c>
      <c r="P45" s="36">
        <f t="shared" si="4"/>
        <v>103.35783651210717</v>
      </c>
      <c r="Q45" s="36">
        <f t="shared" si="5"/>
        <v>103.35783651210717</v>
      </c>
    </row>
    <row r="46" spans="1:17" ht="24" x14ac:dyDescent="0.2">
      <c r="A46" s="25"/>
      <c r="B46" s="25"/>
      <c r="C46" s="25"/>
      <c r="D46" s="25"/>
      <c r="E46" s="25"/>
      <c r="F46" s="25"/>
      <c r="G46" s="26" t="s">
        <v>70</v>
      </c>
      <c r="H46" s="27">
        <v>181638708</v>
      </c>
      <c r="I46" s="27">
        <v>246080510.69999999</v>
      </c>
      <c r="J46" s="27">
        <v>246076799.69999999</v>
      </c>
      <c r="K46" s="27">
        <v>246076799.69999999</v>
      </c>
      <c r="L46" s="27"/>
      <c r="M46" s="27"/>
      <c r="N46" s="27"/>
      <c r="O46" s="27">
        <v>245323725.722</v>
      </c>
      <c r="P46" s="28"/>
      <c r="Q46" s="28"/>
    </row>
    <row r="47" spans="1:17" x14ac:dyDescent="0.2">
      <c r="A47" s="29"/>
      <c r="B47" s="29"/>
      <c r="C47" s="29"/>
      <c r="D47" s="29"/>
      <c r="E47" s="29"/>
      <c r="F47" s="29"/>
      <c r="G47" s="30" t="s">
        <v>71</v>
      </c>
      <c r="H47" s="31">
        <v>184105416</v>
      </c>
      <c r="I47" s="31">
        <v>252299674.69999999</v>
      </c>
      <c r="J47" s="31">
        <v>252295963.69999999</v>
      </c>
      <c r="K47" s="31">
        <v>252295963.69999999</v>
      </c>
      <c r="L47" s="31">
        <v>252295963.69999999</v>
      </c>
      <c r="M47" s="31">
        <v>252016354.43669999</v>
      </c>
      <c r="N47" s="31">
        <f t="shared" ref="N47:N53" si="6">M47-O47</f>
        <v>0</v>
      </c>
      <c r="O47" s="31">
        <v>252016354.43669999</v>
      </c>
      <c r="P47" s="32">
        <f t="shared" ref="P47:P55" si="7">IF(K47=0,0,O47/K47*100)</f>
        <v>99.889174103620419</v>
      </c>
      <c r="Q47" s="32">
        <f t="shared" ref="Q47:Q55" si="8">IF(J47=0,0,O47/J47*100)</f>
        <v>99.889174103620419</v>
      </c>
    </row>
    <row r="48" spans="1:17" x14ac:dyDescent="0.2">
      <c r="A48" s="33" t="s">
        <v>35</v>
      </c>
      <c r="B48" s="33"/>
      <c r="C48" s="33"/>
      <c r="D48" s="33"/>
      <c r="E48" s="33"/>
      <c r="F48" s="33"/>
      <c r="G48" s="34" t="s">
        <v>36</v>
      </c>
      <c r="H48" s="35">
        <v>10453034</v>
      </c>
      <c r="I48" s="35">
        <v>11312367</v>
      </c>
      <c r="J48" s="35">
        <v>11310746</v>
      </c>
      <c r="K48" s="35">
        <v>11310746</v>
      </c>
      <c r="L48" s="35">
        <v>11310746</v>
      </c>
      <c r="M48" s="35">
        <v>11310745.662599999</v>
      </c>
      <c r="N48" s="35">
        <f t="shared" si="6"/>
        <v>0</v>
      </c>
      <c r="O48" s="35">
        <v>11310745.662599999</v>
      </c>
      <c r="P48" s="36">
        <f t="shared" si="7"/>
        <v>99.999997016996048</v>
      </c>
      <c r="Q48" s="36">
        <f t="shared" si="8"/>
        <v>99.999997016996048</v>
      </c>
    </row>
    <row r="49" spans="1:17" x14ac:dyDescent="0.2">
      <c r="A49" s="33" t="s">
        <v>47</v>
      </c>
      <c r="B49" s="33"/>
      <c r="C49" s="33"/>
      <c r="D49" s="33"/>
      <c r="E49" s="33"/>
      <c r="F49" s="33"/>
      <c r="G49" s="34" t="s">
        <v>48</v>
      </c>
      <c r="H49" s="35">
        <v>16000</v>
      </c>
      <c r="I49" s="35">
        <v>309000</v>
      </c>
      <c r="J49" s="35">
        <v>309000</v>
      </c>
      <c r="K49" s="35">
        <v>309000</v>
      </c>
      <c r="L49" s="35">
        <v>309000</v>
      </c>
      <c r="M49" s="35">
        <v>309000</v>
      </c>
      <c r="N49" s="35">
        <f t="shared" si="6"/>
        <v>0</v>
      </c>
      <c r="O49" s="35">
        <v>309000</v>
      </c>
      <c r="P49" s="36">
        <f t="shared" si="7"/>
        <v>100</v>
      </c>
      <c r="Q49" s="36">
        <f t="shared" si="8"/>
        <v>100</v>
      </c>
    </row>
    <row r="50" spans="1:17" ht="42" x14ac:dyDescent="0.2">
      <c r="A50" s="33" t="s">
        <v>53</v>
      </c>
      <c r="B50" s="33"/>
      <c r="C50" s="33"/>
      <c r="D50" s="33"/>
      <c r="E50" s="33"/>
      <c r="F50" s="33"/>
      <c r="G50" s="34" t="s">
        <v>54</v>
      </c>
      <c r="H50" s="35">
        <v>52656887</v>
      </c>
      <c r="I50" s="35">
        <v>60359717</v>
      </c>
      <c r="J50" s="35">
        <v>60359717</v>
      </c>
      <c r="K50" s="35">
        <v>60359717</v>
      </c>
      <c r="L50" s="35">
        <v>60359717</v>
      </c>
      <c r="M50" s="35">
        <v>60359714.859800003</v>
      </c>
      <c r="N50" s="35">
        <f t="shared" si="6"/>
        <v>0</v>
      </c>
      <c r="O50" s="35">
        <v>60359714.859800003</v>
      </c>
      <c r="P50" s="36">
        <f t="shared" si="7"/>
        <v>99.99999645425774</v>
      </c>
      <c r="Q50" s="36">
        <f t="shared" si="8"/>
        <v>99.99999645425774</v>
      </c>
    </row>
    <row r="51" spans="1:17" ht="31.5" x14ac:dyDescent="0.2">
      <c r="A51" s="33" t="s">
        <v>55</v>
      </c>
      <c r="B51" s="33"/>
      <c r="C51" s="33"/>
      <c r="D51" s="33"/>
      <c r="E51" s="33"/>
      <c r="F51" s="33"/>
      <c r="G51" s="34" t="s">
        <v>56</v>
      </c>
      <c r="H51" s="35">
        <v>49000000</v>
      </c>
      <c r="I51" s="35">
        <v>73000000</v>
      </c>
      <c r="J51" s="35">
        <v>73000000</v>
      </c>
      <c r="K51" s="35">
        <v>73000000</v>
      </c>
      <c r="L51" s="35">
        <v>73000000</v>
      </c>
      <c r="M51" s="35">
        <v>73000000</v>
      </c>
      <c r="N51" s="35">
        <f t="shared" si="6"/>
        <v>0</v>
      </c>
      <c r="O51" s="35">
        <v>73000000</v>
      </c>
      <c r="P51" s="36">
        <f t="shared" si="7"/>
        <v>100</v>
      </c>
      <c r="Q51" s="36">
        <f t="shared" si="8"/>
        <v>100</v>
      </c>
    </row>
    <row r="52" spans="1:17" x14ac:dyDescent="0.2">
      <c r="A52" s="33" t="s">
        <v>57</v>
      </c>
      <c r="B52" s="33"/>
      <c r="C52" s="33"/>
      <c r="D52" s="33"/>
      <c r="E52" s="33"/>
      <c r="F52" s="33"/>
      <c r="G52" s="34" t="s">
        <v>58</v>
      </c>
      <c r="H52" s="35">
        <v>27223045</v>
      </c>
      <c r="I52" s="35">
        <v>26206041</v>
      </c>
      <c r="J52" s="35">
        <v>26206041</v>
      </c>
      <c r="K52" s="35">
        <v>26206041</v>
      </c>
      <c r="L52" s="35">
        <v>26206041</v>
      </c>
      <c r="M52" s="35">
        <v>26206041</v>
      </c>
      <c r="N52" s="35">
        <f t="shared" si="6"/>
        <v>0</v>
      </c>
      <c r="O52" s="35">
        <v>26206041</v>
      </c>
      <c r="P52" s="36">
        <f t="shared" si="7"/>
        <v>100</v>
      </c>
      <c r="Q52" s="36">
        <f t="shared" si="8"/>
        <v>100</v>
      </c>
    </row>
    <row r="53" spans="1:17" x14ac:dyDescent="0.2">
      <c r="A53" s="33" t="s">
        <v>59</v>
      </c>
      <c r="B53" s="33"/>
      <c r="C53" s="33"/>
      <c r="D53" s="33"/>
      <c r="E53" s="33"/>
      <c r="F53" s="33"/>
      <c r="G53" s="34" t="s">
        <v>60</v>
      </c>
      <c r="H53" s="35">
        <v>44756450</v>
      </c>
      <c r="I53" s="35">
        <v>81112549.700000003</v>
      </c>
      <c r="J53" s="35">
        <v>81110459.700000003</v>
      </c>
      <c r="K53" s="35">
        <v>81110459.700000003</v>
      </c>
      <c r="L53" s="35">
        <v>81110459.700000003</v>
      </c>
      <c r="M53" s="35">
        <v>80830852.914399996</v>
      </c>
      <c r="N53" s="35">
        <f t="shared" si="6"/>
        <v>0</v>
      </c>
      <c r="O53" s="35">
        <v>80830852.914399996</v>
      </c>
      <c r="P53" s="36">
        <f t="shared" si="7"/>
        <v>99.655276536917455</v>
      </c>
      <c r="Q53" s="36">
        <f t="shared" si="8"/>
        <v>99.655276536917455</v>
      </c>
    </row>
    <row r="54" spans="1:17" ht="21" x14ac:dyDescent="0.2">
      <c r="A54" s="29"/>
      <c r="B54" s="29"/>
      <c r="C54" s="29"/>
      <c r="D54" s="29"/>
      <c r="E54" s="29"/>
      <c r="F54" s="29"/>
      <c r="G54" s="30" t="s">
        <v>72</v>
      </c>
      <c r="H54" s="31">
        <v>2466708</v>
      </c>
      <c r="I54" s="31">
        <v>6219164</v>
      </c>
      <c r="J54" s="31">
        <v>6219164</v>
      </c>
      <c r="K54" s="31">
        <v>6219164</v>
      </c>
      <c r="L54" s="31"/>
      <c r="M54" s="31"/>
      <c r="N54" s="31"/>
      <c r="O54" s="31">
        <v>6692628.7152000004</v>
      </c>
      <c r="P54" s="32">
        <f t="shared" si="7"/>
        <v>107.6129961390309</v>
      </c>
      <c r="Q54" s="32">
        <f t="shared" si="8"/>
        <v>107.6129961390309</v>
      </c>
    </row>
    <row r="55" spans="1:17" ht="21" x14ac:dyDescent="0.2">
      <c r="A55" s="33" t="s">
        <v>73</v>
      </c>
      <c r="B55" s="33"/>
      <c r="C55" s="33"/>
      <c r="D55" s="33"/>
      <c r="E55" s="33"/>
      <c r="F55" s="33"/>
      <c r="G55" s="34" t="s">
        <v>74</v>
      </c>
      <c r="H55" s="35">
        <v>2466708</v>
      </c>
      <c r="I55" s="35">
        <v>6219164</v>
      </c>
      <c r="J55" s="35">
        <v>6219164</v>
      </c>
      <c r="K55" s="35">
        <v>6219164</v>
      </c>
      <c r="L55" s="35"/>
      <c r="M55" s="35"/>
      <c r="N55" s="35"/>
      <c r="O55" s="35">
        <v>6692628.7152100001</v>
      </c>
      <c r="P55" s="36">
        <f t="shared" si="7"/>
        <v>107.61299613919171</v>
      </c>
      <c r="Q55" s="36">
        <f t="shared" si="8"/>
        <v>107.61299613919171</v>
      </c>
    </row>
    <row r="56" spans="1:17" ht="12" x14ac:dyDescent="0.2">
      <c r="A56" s="25"/>
      <c r="B56" s="25"/>
      <c r="C56" s="25"/>
      <c r="D56" s="25"/>
      <c r="E56" s="25"/>
      <c r="F56" s="25"/>
      <c r="G56" s="26" t="s">
        <v>75</v>
      </c>
      <c r="H56" s="27">
        <v>-1849318041.5999999</v>
      </c>
      <c r="I56" s="27">
        <v>-2788249049.8000002</v>
      </c>
      <c r="J56" s="27">
        <v>-1451231095.5999999</v>
      </c>
      <c r="K56" s="27">
        <v>-1451231095.5999999</v>
      </c>
      <c r="L56" s="27"/>
      <c r="M56" s="27"/>
      <c r="N56" s="27"/>
      <c r="O56" s="27">
        <v>-1285306718.378</v>
      </c>
      <c r="P56" s="28"/>
      <c r="Q56" s="28"/>
    </row>
    <row r="57" spans="1:17" ht="36" x14ac:dyDescent="0.2">
      <c r="A57" s="25"/>
      <c r="B57" s="25"/>
      <c r="C57" s="25"/>
      <c r="D57" s="25"/>
      <c r="E57" s="25"/>
      <c r="F57" s="25"/>
      <c r="G57" s="26" t="s">
        <v>76</v>
      </c>
      <c r="H57" s="27">
        <v>1849318041.5999999</v>
      </c>
      <c r="I57" s="27">
        <v>2788249049.8000002</v>
      </c>
      <c r="J57" s="27">
        <v>1451231095.5999999</v>
      </c>
      <c r="K57" s="27">
        <v>1451231095.5999999</v>
      </c>
      <c r="L57" s="27"/>
      <c r="M57" s="27"/>
      <c r="N57" s="27"/>
      <c r="O57" s="27">
        <v>1285306718.378</v>
      </c>
      <c r="P57" s="28"/>
      <c r="Q57" s="28"/>
    </row>
    <row r="58" spans="1:17" x14ac:dyDescent="0.2">
      <c r="A58" s="29"/>
      <c r="B58" s="29"/>
      <c r="C58" s="29"/>
      <c r="D58" s="29"/>
      <c r="E58" s="29"/>
      <c r="F58" s="29"/>
      <c r="G58" s="30" t="s">
        <v>77</v>
      </c>
      <c r="H58" s="31">
        <v>1712313724</v>
      </c>
      <c r="I58" s="31">
        <v>2010592323.3</v>
      </c>
      <c r="J58" s="31">
        <v>2009842752.3</v>
      </c>
      <c r="K58" s="31">
        <v>2009842752.3</v>
      </c>
      <c r="L58" s="31"/>
      <c r="M58" s="31"/>
      <c r="N58" s="31"/>
      <c r="O58" s="31">
        <v>2012813684.3958001</v>
      </c>
      <c r="P58" s="32">
        <f>IF(K58=0,0,O58/K58*100)</f>
        <v>100.147819131243</v>
      </c>
      <c r="Q58" s="32">
        <f>IF(J58=0,0,O58/J58*100)</f>
        <v>100.147819131243</v>
      </c>
    </row>
    <row r="59" spans="1:17" x14ac:dyDescent="0.2">
      <c r="A59" s="33" t="s">
        <v>78</v>
      </c>
      <c r="B59" s="33"/>
      <c r="C59" s="33"/>
      <c r="D59" s="33"/>
      <c r="E59" s="33"/>
      <c r="F59" s="33"/>
      <c r="G59" s="34" t="s">
        <v>79</v>
      </c>
      <c r="H59" s="35">
        <v>1712313724</v>
      </c>
      <c r="I59" s="35">
        <v>2010592323.3</v>
      </c>
      <c r="J59" s="35">
        <v>2009842752.3</v>
      </c>
      <c r="K59" s="35">
        <v>2009842752.3</v>
      </c>
      <c r="L59" s="35"/>
      <c r="M59" s="35"/>
      <c r="N59" s="35"/>
      <c r="O59" s="35">
        <v>2012813684.3958001</v>
      </c>
      <c r="P59" s="36">
        <f>IF(K59=0,0,O59/K59*100)</f>
        <v>100.147819131243</v>
      </c>
      <c r="Q59" s="36">
        <f>IF(J59=0,0,O59/J59*100)</f>
        <v>100.147819131243</v>
      </c>
    </row>
    <row r="60" spans="1:17" x14ac:dyDescent="0.2">
      <c r="A60" s="29"/>
      <c r="B60" s="29"/>
      <c r="C60" s="29"/>
      <c r="D60" s="29"/>
      <c r="E60" s="29"/>
      <c r="F60" s="29"/>
      <c r="G60" s="30" t="s">
        <v>80</v>
      </c>
      <c r="H60" s="31">
        <v>738263863</v>
      </c>
      <c r="I60" s="31">
        <v>775666944</v>
      </c>
      <c r="J60" s="31">
        <v>774917373</v>
      </c>
      <c r="K60" s="31">
        <v>774917373</v>
      </c>
      <c r="L60" s="31">
        <v>774917373</v>
      </c>
      <c r="M60" s="31">
        <v>774895072.44780004</v>
      </c>
      <c r="N60" s="31">
        <f>M60-O60</f>
        <v>0</v>
      </c>
      <c r="O60" s="31">
        <v>774895072.44780004</v>
      </c>
      <c r="P60" s="32">
        <f>IF(K60=0,0,O60/K60*100)</f>
        <v>99.997122202575781</v>
      </c>
      <c r="Q60" s="32">
        <f>IF(J60=0,0,O60/J60*100)</f>
        <v>99.997122202575781</v>
      </c>
    </row>
    <row r="61" spans="1:17" x14ac:dyDescent="0.2">
      <c r="A61" s="33" t="s">
        <v>81</v>
      </c>
      <c r="B61" s="33"/>
      <c r="C61" s="33"/>
      <c r="D61" s="33"/>
      <c r="E61" s="33"/>
      <c r="F61" s="33"/>
      <c r="G61" s="34" t="s">
        <v>82</v>
      </c>
      <c r="H61" s="35">
        <v>738263863</v>
      </c>
      <c r="I61" s="35">
        <v>775666944</v>
      </c>
      <c r="J61" s="35">
        <v>774917373</v>
      </c>
      <c r="K61" s="35">
        <v>774917373</v>
      </c>
      <c r="L61" s="35">
        <v>774917373</v>
      </c>
      <c r="M61" s="35">
        <v>774895072.44780004</v>
      </c>
      <c r="N61" s="35">
        <f>M61-O61</f>
        <v>0</v>
      </c>
      <c r="O61" s="35">
        <v>774895072.44780004</v>
      </c>
      <c r="P61" s="36">
        <f>IF(K61=0,0,O61/K61*100)</f>
        <v>99.997122202575781</v>
      </c>
      <c r="Q61" s="36">
        <f>IF(J61=0,0,O61/J61*100)</f>
        <v>99.997122202575781</v>
      </c>
    </row>
    <row r="62" spans="1:17" ht="21" x14ac:dyDescent="0.2">
      <c r="A62" s="29"/>
      <c r="B62" s="29"/>
      <c r="C62" s="29"/>
      <c r="D62" s="29"/>
      <c r="E62" s="29"/>
      <c r="F62" s="29"/>
      <c r="G62" s="30" t="s">
        <v>83</v>
      </c>
      <c r="H62" s="31">
        <v>875268180.60000002</v>
      </c>
      <c r="I62" s="31">
        <v>1553323670.5</v>
      </c>
      <c r="J62" s="31">
        <v>216305716.30000001</v>
      </c>
      <c r="K62" s="31">
        <v>216305716.30000001</v>
      </c>
      <c r="L62" s="31"/>
      <c r="M62" s="31"/>
      <c r="N62" s="31"/>
      <c r="O62" s="31">
        <v>47388106.43</v>
      </c>
      <c r="P62" s="32"/>
      <c r="Q62" s="32"/>
    </row>
    <row r="63" spans="1:17" ht="24" x14ac:dyDescent="0.2">
      <c r="A63" s="25"/>
      <c r="B63" s="25"/>
      <c r="C63" s="25"/>
      <c r="D63" s="25"/>
      <c r="E63" s="25"/>
      <c r="F63" s="25"/>
      <c r="G63" s="26" t="s">
        <v>84</v>
      </c>
      <c r="H63" s="27"/>
      <c r="I63" s="27"/>
      <c r="J63" s="27"/>
      <c r="K63" s="27"/>
      <c r="L63" s="27"/>
      <c r="M63" s="27"/>
      <c r="N63" s="27"/>
      <c r="O63" s="27"/>
      <c r="P63" s="28"/>
      <c r="Q63" s="28"/>
    </row>
    <row r="64" spans="1:17" ht="21" x14ac:dyDescent="0.2">
      <c r="A64" s="29"/>
      <c r="B64" s="29"/>
      <c r="C64" s="29"/>
      <c r="D64" s="29"/>
      <c r="E64" s="29"/>
      <c r="F64" s="29"/>
      <c r="G64" s="30" t="s">
        <v>85</v>
      </c>
      <c r="H64" s="31"/>
      <c r="I64" s="31"/>
      <c r="J64" s="31"/>
      <c r="K64" s="31"/>
      <c r="L64" s="31"/>
      <c r="M64" s="31"/>
      <c r="N64" s="31"/>
      <c r="O64" s="31">
        <v>234259065.21349999</v>
      </c>
      <c r="P64" s="32"/>
      <c r="Q64" s="32"/>
    </row>
    <row r="65" spans="1:17" ht="21" x14ac:dyDescent="0.2">
      <c r="A65" s="29"/>
      <c r="B65" s="29"/>
      <c r="C65" s="29"/>
      <c r="D65" s="29"/>
      <c r="E65" s="29"/>
      <c r="F65" s="29"/>
      <c r="G65" s="30" t="s">
        <v>86</v>
      </c>
      <c r="H65" s="31"/>
      <c r="I65" s="31"/>
      <c r="J65" s="31"/>
      <c r="K65" s="31"/>
      <c r="L65" s="31"/>
      <c r="M65" s="31"/>
      <c r="N65" s="31"/>
      <c r="O65" s="31">
        <v>186870958.78299999</v>
      </c>
      <c r="P65" s="32"/>
      <c r="Q65" s="32"/>
    </row>
  </sheetData>
  <mergeCells count="12">
    <mergeCell ref="K7:L7"/>
    <mergeCell ref="A9:F9"/>
    <mergeCell ref="A7:F8"/>
    <mergeCell ref="J7:J8"/>
    <mergeCell ref="G7:G8"/>
    <mergeCell ref="H7:H8"/>
    <mergeCell ref="I7:I8"/>
    <mergeCell ref="M7:M8"/>
    <mergeCell ref="N7:N8"/>
    <mergeCell ref="O7:O8"/>
    <mergeCell ref="Q7:Q8"/>
    <mergeCell ref="P7:P8"/>
  </mergeCells>
  <phoneticPr fontId="0" type="noConversion"/>
  <printOptions horizontalCentered="1"/>
  <pageMargins left="0.19685039370078741" right="0.19685039370078741" top="0.78740157480314965" bottom="0.35433070866141736" header="0.39370078740157483" footer="0.19685039370078741"/>
  <pageSetup paperSize="9" scale="72" fitToHeight="0" orientation="landscape" r:id="rId1"/>
  <headerFooter alignWithMargins="0"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Отчет</vt:lpstr>
      <vt:lpstr>Отчет!Заголовки_для_печати</vt:lpstr>
    </vt:vector>
  </TitlesOfParts>
  <Company>RR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</dc:creator>
  <cp:lastModifiedBy>Пользователь</cp:lastModifiedBy>
  <cp:lastPrinted>2020-06-30T10:08:06Z</cp:lastPrinted>
  <dcterms:created xsi:type="dcterms:W3CDTF">2003-05-20T10:03:43Z</dcterms:created>
  <dcterms:modified xsi:type="dcterms:W3CDTF">2020-06-30T10:08:24Z</dcterms:modified>
</cp:coreProperties>
</file>