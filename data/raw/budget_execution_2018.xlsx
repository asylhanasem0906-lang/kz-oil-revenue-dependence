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 defaultThemeVersion="124226"/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45621"/>
</workbook>
</file>

<file path=xl/calcChain.xml><?xml version="1.0" encoding="utf-8"?>
<calcChain xmlns="http://schemas.openxmlformats.org/spreadsheetml/2006/main">
  <c r="L10" i="1" l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J19" i="1"/>
  <c r="L19" i="1"/>
  <c r="M19" i="1"/>
  <c r="J20" i="1"/>
  <c r="L20" i="1"/>
  <c r="M20" i="1"/>
  <c r="J21" i="1"/>
  <c r="L21" i="1"/>
  <c r="M21" i="1"/>
  <c r="J22" i="1"/>
  <c r="L22" i="1"/>
  <c r="M22" i="1"/>
  <c r="J23" i="1"/>
  <c r="L23" i="1"/>
  <c r="M23" i="1"/>
  <c r="J24" i="1"/>
  <c r="L24" i="1"/>
  <c r="M24" i="1"/>
  <c r="J25" i="1"/>
  <c r="L25" i="1"/>
  <c r="M25" i="1"/>
  <c r="J26" i="1"/>
  <c r="L26" i="1"/>
  <c r="M26" i="1"/>
  <c r="J27" i="1"/>
  <c r="L27" i="1"/>
  <c r="M27" i="1"/>
  <c r="J28" i="1"/>
  <c r="L28" i="1"/>
  <c r="M28" i="1"/>
  <c r="J29" i="1"/>
  <c r="L29" i="1"/>
  <c r="M29" i="1"/>
  <c r="J30" i="1"/>
  <c r="L30" i="1"/>
  <c r="M30" i="1"/>
  <c r="J31" i="1"/>
  <c r="L31" i="1"/>
  <c r="M31" i="1"/>
  <c r="J32" i="1"/>
  <c r="L32" i="1"/>
  <c r="M32" i="1"/>
  <c r="J33" i="1"/>
  <c r="L33" i="1"/>
  <c r="M33" i="1"/>
  <c r="J34" i="1"/>
  <c r="L34" i="1"/>
  <c r="M34" i="1"/>
  <c r="J36" i="1"/>
  <c r="L36" i="1"/>
  <c r="M36" i="1"/>
  <c r="J37" i="1"/>
  <c r="L37" i="1"/>
  <c r="M37" i="1"/>
  <c r="J38" i="1"/>
  <c r="L38" i="1"/>
  <c r="M38" i="1"/>
  <c r="J39" i="1"/>
  <c r="L39" i="1"/>
  <c r="M39" i="1"/>
  <c r="J40" i="1"/>
  <c r="L40" i="1"/>
  <c r="M40" i="1"/>
  <c r="J41" i="1"/>
  <c r="L41" i="1"/>
  <c r="M41" i="1"/>
  <c r="J42" i="1"/>
  <c r="L42" i="1"/>
  <c r="M42" i="1"/>
  <c r="L43" i="1"/>
  <c r="M43" i="1"/>
  <c r="L44" i="1"/>
  <c r="M44" i="1"/>
  <c r="J46" i="1"/>
  <c r="L46" i="1"/>
  <c r="M46" i="1"/>
  <c r="J47" i="1"/>
  <c r="L47" i="1"/>
  <c r="M47" i="1"/>
  <c r="J48" i="1"/>
  <c r="L48" i="1"/>
  <c r="M48" i="1"/>
  <c r="J49" i="1"/>
  <c r="L49" i="1"/>
  <c r="M49" i="1"/>
  <c r="J50" i="1"/>
  <c r="L50" i="1"/>
  <c r="M50" i="1"/>
  <c r="J51" i="1"/>
  <c r="L51" i="1"/>
  <c r="M51" i="1"/>
  <c r="J52" i="1"/>
  <c r="L52" i="1"/>
  <c r="M52" i="1"/>
  <c r="J53" i="1"/>
  <c r="L53" i="1"/>
  <c r="M53" i="1"/>
  <c r="L54" i="1"/>
  <c r="M54" i="1"/>
  <c r="L55" i="1"/>
  <c r="M55" i="1"/>
  <c r="L58" i="1"/>
  <c r="M58" i="1"/>
  <c r="L59" i="1"/>
  <c r="M59" i="1"/>
  <c r="J60" i="1"/>
  <c r="L60" i="1"/>
  <c r="M60" i="1"/>
  <c r="J61" i="1"/>
  <c r="L61" i="1"/>
  <c r="M61" i="1"/>
</calcChain>
</file>

<file path=xl/sharedStrings.xml><?xml version="1.0" encoding="utf-8"?>
<sst xmlns="http://schemas.openxmlformats.org/spreadsheetml/2006/main" count="113" uniqueCount="87">
  <si>
    <t>Отчет об исполнении государственного бюджета</t>
  </si>
  <si>
    <t xml:space="preserve">за   2018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</si>
  <si>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</si>
  <si>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</si>
  <si>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</si>
  <si>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</si>
  <si>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</si>
  <si>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</si>
  <si>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</si>
  <si>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</si>
  <si>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</si>
  <si>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Скорректированный бюджет на отчетный финансовый год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</si>
  <si>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</si>
  <si>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</si>
  <si>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</si>
  <si>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</si>
  <si>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</si>
  <si>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</si>
  <si>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</si>
  <si>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</si>
  <si>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</si>
  <si>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</si>
  <si>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</si>
  <si>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</si>
  <si>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</si>
  <si>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</si>
  <si>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</si>
  <si>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</si>
  <si>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</si>
  <si>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</si>
  <si>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</si>
  <si>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</si>
  <si>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</si>
  <si>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</si>
  <si>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</si>
  <si>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</si>
  <si>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</si>
  <si>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</si>
  <si>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</si>
  <si>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</si>
  <si>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</si>
  <si>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</si>
  <si>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</si>
  <si>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</si>
  <si>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</si>
  <si>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</si>
  <si>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</si>
  <si>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</si>
  <si>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</si>
  <si>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</si>
  <si>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</si>
  <si>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</si>
  <si>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</si>
  <si>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</si>
  <si>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</si>
  <si>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</si>
  <si>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</si>
  <si>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</si>
  <si>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</si>
  <si>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</si>
  <si>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</si>
  <si>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</si>
  <si>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</si>
  <si>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15</t>
  </si>
  <si>
    <t>Трансферты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</si>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</sst>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2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Continuous" wrapText="1"/>
    </xf>
    <xf numFmtId="49" fontId="2" fillId="0" borderId="0" xfId="0" applyNumberFormat="1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/>
    <xf numFmtId="0" fontId="6" fillId="0" borderId="0" xfId="0" applyFont="1" applyAlignment="1">
      <alignment horizontal="centerContinuous" wrapText="1"/>
    </xf>
    <xf numFmtId="0" fontId="2" fillId="0" borderId="0" xfId="0" applyFont="1" applyAlignment="1"/>
    <xf numFmtId="0" fontId="1" fillId="0" borderId="0" xfId="0" applyFont="1" applyAlignment="1"/>
    <xf numFmtId="49" fontId="7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49" fontId="3" fillId="0" borderId="0" xfId="0" applyNumberFormat="1" applyFont="1"/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M69"/>
  <sheetViews>
    <sheetView tabSelected="1" topLeftCell="B50" workbookViewId="0">
      <selection activeCell="G71" sqref="G71"/>
    </sheetView>
  </sheetViews>
  <sheetFormatPr defaultRowHeight="11.25" x14ac:dyDescent="0.2"/>
  <cols>
    <col min="1" max="2" width="4" style="39" customWidth="1"/>
    <col min="3" max="3" width="52.7109375" style="3" customWidth="1"/>
    <col min="4" max="7" width="13.85546875" style="3" customWidth="1"/>
    <col min="8" max="8" width="13.5703125" style="3" customWidth="1"/>
    <col min="9" max="9" width="13.140625" style="3" customWidth="1"/>
    <col min="10" max="10" width="12" style="3" customWidth="1"/>
    <col min="11" max="11" width="13.85546875" style="3" customWidth="1"/>
    <col min="12" max="13" width="11.28515625" style="3" customWidth="1"/>
    <col min="14" max="16384" width="9.140625" style="3"/>
  </cols>
  <sheetData>
    <row r="1" spans="1:13" s="5" customFormat="1" ht="15.75" x14ac:dyDescent="0.25">
      <c r="A1" s="1"/>
      <c r="B1" s="2"/>
      <c r="C1" s="3"/>
      <c r="D1" s="4"/>
      <c r="E1" s="40"/>
      <c r="F1" s="41"/>
      <c r="G1" s="6" t="s">
        <v>0</v>
      </c>
      <c r="H1" s="15"/>
      <c r="I1" s="41"/>
      <c r="K1" s="8"/>
    </row>
    <row r="2" spans="1:13" s="5" customFormat="1" ht="15.75" x14ac:dyDescent="0.25">
      <c r="A2" s="9"/>
      <c r="B2" s="2"/>
      <c r="C2" s="6"/>
      <c r="D2" s="7"/>
      <c r="E2" s="6"/>
      <c r="F2" s="10"/>
      <c r="G2" s="6" t="s">
        <v>1</v>
      </c>
      <c r="H2" s="15"/>
      <c r="I2" s="12"/>
      <c r="J2" s="11"/>
      <c r="K2" s="12"/>
    </row>
    <row r="3" spans="1:13" s="5" customFormat="1" ht="15.75" x14ac:dyDescent="0.25">
      <c r="A3" s="13"/>
      <c r="B3" s="2"/>
      <c r="C3" s="7"/>
      <c r="D3" s="7"/>
      <c r="E3" s="14"/>
      <c r="F3" s="7"/>
      <c r="G3" s="7"/>
      <c r="H3" s="7"/>
      <c r="I3" s="7"/>
      <c r="J3" s="7"/>
      <c r="K3" s="15"/>
      <c r="L3" s="7"/>
      <c r="M3" s="7"/>
    </row>
    <row r="4" spans="1:13" s="5" customFormat="1" ht="15.75" x14ac:dyDescent="0.25">
      <c r="A4" s="13" t="s">
        <v>2</v>
      </c>
      <c r="B4" s="2"/>
      <c r="C4" s="7"/>
      <c r="D4" s="7"/>
      <c r="E4" s="14"/>
      <c r="F4" s="7"/>
      <c r="G4" s="7"/>
      <c r="H4" s="7"/>
      <c r="I4" s="7"/>
      <c r="J4" s="7"/>
      <c r="K4" s="15"/>
      <c r="L4" s="7"/>
      <c r="M4" s="7"/>
    </row>
    <row r="5" spans="1:13" s="18" customFormat="1" x14ac:dyDescent="0.2">
      <c r="A5" s="16" t="s">
        <v>3</v>
      </c>
      <c r="B5" s="16"/>
      <c r="C5" s="17" t="s">
        <v>4</v>
      </c>
      <c r="K5" s="19"/>
    </row>
    <row r="6" spans="1:13" x14ac:dyDescent="0.2">
      <c r="A6" s="16" t="s">
        <v>5</v>
      </c>
      <c r="B6" s="16"/>
      <c r="C6" s="17" t="s">
        <v>6</v>
      </c>
      <c r="D6" s="18"/>
      <c r="E6" s="18"/>
    </row>
    <row r="7" spans="1:13" s="20" customFormat="1" ht="42.75" customHeight="1" x14ac:dyDescent="0.2">
      <c r="A7" s="47" t="s">
        <v>7</v>
      </c>
      <c r="B7" s="48"/>
      <c r="C7" s="42" t="s">
        <v>8</v>
      </c>
      <c r="D7" s="42" t="s">
        <v>9</v>
      </c>
      <c r="E7" s="42" t="s">
        <v>10</v>
      </c>
      <c r="F7" s="42" t="s">
        <v>11</v>
      </c>
      <c r="G7" s="51" t="s">
        <v>12</v>
      </c>
      <c r="H7" s="52"/>
      <c r="I7" s="42" t="s">
        <v>13</v>
      </c>
      <c r="J7" s="42" t="s">
        <v>14</v>
      </c>
      <c r="K7" s="42" t="s">
        <v>15</v>
      </c>
      <c r="L7" s="42" t="s">
        <v>16</v>
      </c>
      <c r="M7" s="44" t="s">
        <v>17</v>
      </c>
    </row>
    <row r="8" spans="1:13" s="20" customFormat="1" ht="57" customHeight="1" x14ac:dyDescent="0.2">
      <c r="A8" s="49"/>
      <c r="B8" s="50"/>
      <c r="C8" s="43"/>
      <c r="D8" s="43"/>
      <c r="E8" s="43"/>
      <c r="F8" s="43"/>
      <c r="G8" s="21" t="s">
        <v>18</v>
      </c>
      <c r="H8" s="21" t="s">
        <v>19</v>
      </c>
      <c r="I8" s="43"/>
      <c r="J8" s="43"/>
      <c r="K8" s="43"/>
      <c r="L8" s="43"/>
      <c r="M8" s="44"/>
    </row>
    <row r="9" spans="1:13" ht="11.25" customHeight="1" x14ac:dyDescent="0.2">
      <c r="A9" s="45" t="s">
        <v>20</v>
      </c>
      <c r="B9" s="46"/>
      <c r="C9" s="22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</row>
    <row r="10" spans="1:13" ht="12" x14ac:dyDescent="0.2">
      <c r="A10" s="24"/>
      <c r="B10" s="24"/>
      <c r="C10" s="25" t="s">
        <v>21</v>
      </c>
      <c r="D10" s="26">
        <v>10168125207.4</v>
      </c>
      <c r="E10" s="26">
        <v>10613010919.4</v>
      </c>
      <c r="F10" s="26">
        <v>10609652923.5</v>
      </c>
      <c r="G10" s="26">
        <v>10609652923.5</v>
      </c>
      <c r="H10" s="26"/>
      <c r="I10" s="26"/>
      <c r="J10" s="26"/>
      <c r="K10" s="26">
        <v>10808572891.3908</v>
      </c>
      <c r="L10" s="27">
        <f t="shared" ref="L10:L34" si="0">IF(G10=0,0,K10/G10*100)</f>
        <v>101.87489609061764</v>
      </c>
      <c r="M10" s="27">
        <f t="shared" ref="M10:M34" si="1">IF(F10=0,0,K10/F10*100)</f>
        <v>101.87489609061764</v>
      </c>
    </row>
    <row r="11" spans="1:13" x14ac:dyDescent="0.2">
      <c r="A11" s="28"/>
      <c r="B11" s="28"/>
      <c r="C11" s="29" t="s">
        <v>22</v>
      </c>
      <c r="D11" s="30">
        <v>7353924969.8999996</v>
      </c>
      <c r="E11" s="30">
        <v>7743203045.5</v>
      </c>
      <c r="F11" s="30">
        <v>7741172059.3999996</v>
      </c>
      <c r="G11" s="30">
        <v>7741172059.3999996</v>
      </c>
      <c r="H11" s="30"/>
      <c r="I11" s="30"/>
      <c r="J11" s="30"/>
      <c r="K11" s="30">
        <v>7890048341.4912004</v>
      </c>
      <c r="L11" s="31">
        <f t="shared" si="0"/>
        <v>101.92317495269236</v>
      </c>
      <c r="M11" s="31">
        <f t="shared" si="1"/>
        <v>101.92317495269236</v>
      </c>
    </row>
    <row r="12" spans="1:13" x14ac:dyDescent="0.2">
      <c r="A12" s="32" t="s">
        <v>23</v>
      </c>
      <c r="B12" s="32"/>
      <c r="C12" s="33" t="s">
        <v>24</v>
      </c>
      <c r="D12" s="34">
        <v>7353924969.8999996</v>
      </c>
      <c r="E12" s="34">
        <v>7743203045.5</v>
      </c>
      <c r="F12" s="34">
        <v>7741172059.3999996</v>
      </c>
      <c r="G12" s="34">
        <v>7741172059.3999996</v>
      </c>
      <c r="H12" s="34"/>
      <c r="I12" s="34"/>
      <c r="J12" s="34"/>
      <c r="K12" s="34">
        <v>7890048341.4912996</v>
      </c>
      <c r="L12" s="35">
        <f t="shared" si="0"/>
        <v>101.92317495269366</v>
      </c>
      <c r="M12" s="35">
        <f t="shared" si="1"/>
        <v>101.92317495269366</v>
      </c>
    </row>
    <row r="13" spans="1:13" x14ac:dyDescent="0.2">
      <c r="A13" s="28"/>
      <c r="B13" s="28"/>
      <c r="C13" s="29" t="s">
        <v>25</v>
      </c>
      <c r="D13" s="30">
        <v>151945422.5</v>
      </c>
      <c r="E13" s="30">
        <v>186750069.80000001</v>
      </c>
      <c r="F13" s="30">
        <v>186482787.09999999</v>
      </c>
      <c r="G13" s="30">
        <v>186482787.09999999</v>
      </c>
      <c r="H13" s="30"/>
      <c r="I13" s="30"/>
      <c r="J13" s="30"/>
      <c r="K13" s="30">
        <v>225988266.54660001</v>
      </c>
      <c r="L13" s="31">
        <f t="shared" si="0"/>
        <v>121.18451791768616</v>
      </c>
      <c r="M13" s="31">
        <f t="shared" si="1"/>
        <v>121.18451791768616</v>
      </c>
    </row>
    <row r="14" spans="1:13" x14ac:dyDescent="0.2">
      <c r="A14" s="32" t="s">
        <v>26</v>
      </c>
      <c r="B14" s="32"/>
      <c r="C14" s="33" t="s">
        <v>27</v>
      </c>
      <c r="D14" s="34">
        <v>151945422.5</v>
      </c>
      <c r="E14" s="34">
        <v>186750069.80000001</v>
      </c>
      <c r="F14" s="34">
        <v>186482787.09999999</v>
      </c>
      <c r="G14" s="34">
        <v>186482787.09999999</v>
      </c>
      <c r="H14" s="34"/>
      <c r="I14" s="34"/>
      <c r="J14" s="34"/>
      <c r="K14" s="34">
        <v>225988266.54660001</v>
      </c>
      <c r="L14" s="35">
        <f t="shared" si="0"/>
        <v>121.18451791768616</v>
      </c>
      <c r="M14" s="35">
        <f t="shared" si="1"/>
        <v>121.18451791768616</v>
      </c>
    </row>
    <row r="15" spans="1:13" x14ac:dyDescent="0.2">
      <c r="A15" s="28"/>
      <c r="B15" s="28"/>
      <c r="C15" s="29" t="s">
        <v>28</v>
      </c>
      <c r="D15" s="30">
        <v>62254815</v>
      </c>
      <c r="E15" s="30">
        <v>83057804.099999994</v>
      </c>
      <c r="F15" s="30">
        <v>81998077</v>
      </c>
      <c r="G15" s="30">
        <v>81998077</v>
      </c>
      <c r="H15" s="30"/>
      <c r="I15" s="30"/>
      <c r="J15" s="30"/>
      <c r="K15" s="30">
        <v>92536283.353</v>
      </c>
      <c r="L15" s="31">
        <f t="shared" si="0"/>
        <v>112.85177255193435</v>
      </c>
      <c r="M15" s="31">
        <f t="shared" si="1"/>
        <v>112.85177255193435</v>
      </c>
    </row>
    <row r="16" spans="1:13" x14ac:dyDescent="0.2">
      <c r="A16" s="32" t="s">
        <v>29</v>
      </c>
      <c r="B16" s="32"/>
      <c r="C16" s="33" t="s">
        <v>30</v>
      </c>
      <c r="D16" s="34">
        <v>62254815</v>
      </c>
      <c r="E16" s="34">
        <v>83057804.099999994</v>
      </c>
      <c r="F16" s="34">
        <v>81998077</v>
      </c>
      <c r="G16" s="34">
        <v>81998077</v>
      </c>
      <c r="H16" s="34"/>
      <c r="I16" s="34"/>
      <c r="J16" s="34"/>
      <c r="K16" s="34">
        <v>92536283.353</v>
      </c>
      <c r="L16" s="35">
        <f t="shared" si="0"/>
        <v>112.85177255193435</v>
      </c>
      <c r="M16" s="35">
        <f t="shared" si="1"/>
        <v>112.85177255193435</v>
      </c>
    </row>
    <row r="17" spans="1:13" x14ac:dyDescent="0.2">
      <c r="A17" s="28"/>
      <c r="B17" s="28"/>
      <c r="C17" s="29" t="s">
        <v>31</v>
      </c>
      <c r="D17" s="30">
        <v>2600000000</v>
      </c>
      <c r="E17" s="30">
        <v>2600000000</v>
      </c>
      <c r="F17" s="30">
        <v>2600000000</v>
      </c>
      <c r="G17" s="30">
        <v>2600000000</v>
      </c>
      <c r="H17" s="30"/>
      <c r="I17" s="30"/>
      <c r="J17" s="30"/>
      <c r="K17" s="30">
        <v>2600000000</v>
      </c>
      <c r="L17" s="31">
        <f t="shared" si="0"/>
        <v>100</v>
      </c>
      <c r="M17" s="31">
        <f t="shared" si="1"/>
        <v>100</v>
      </c>
    </row>
    <row r="18" spans="1:13" x14ac:dyDescent="0.2">
      <c r="A18" s="32" t="s">
        <v>32</v>
      </c>
      <c r="B18" s="32"/>
      <c r="C18" s="33" t="s">
        <v>33</v>
      </c>
      <c r="D18" s="34">
        <v>2600000000</v>
      </c>
      <c r="E18" s="34">
        <v>2600000000</v>
      </c>
      <c r="F18" s="34">
        <v>2600000000</v>
      </c>
      <c r="G18" s="34">
        <v>2600000000</v>
      </c>
      <c r="H18" s="34"/>
      <c r="I18" s="34"/>
      <c r="J18" s="34"/>
      <c r="K18" s="34">
        <v>2600000000</v>
      </c>
      <c r="L18" s="35">
        <f t="shared" si="0"/>
        <v>100</v>
      </c>
      <c r="M18" s="35">
        <f t="shared" si="1"/>
        <v>100</v>
      </c>
    </row>
    <row r="19" spans="1:13" ht="12" x14ac:dyDescent="0.2">
      <c r="A19" s="24"/>
      <c r="B19" s="24"/>
      <c r="C19" s="25" t="s">
        <v>34</v>
      </c>
      <c r="D19" s="26">
        <v>11132203357.799999</v>
      </c>
      <c r="E19" s="26">
        <v>12093082783.299999</v>
      </c>
      <c r="F19" s="26">
        <v>11380590206.200001</v>
      </c>
      <c r="G19" s="26">
        <v>11380590206.200001</v>
      </c>
      <c r="H19" s="26">
        <v>11380590206.200001</v>
      </c>
      <c r="I19" s="26">
        <v>11355908533.605801</v>
      </c>
      <c r="J19" s="26">
        <f t="shared" ref="J19:J34" si="2">I19-K19</f>
        <v>9854172.802400589</v>
      </c>
      <c r="K19" s="26">
        <v>11346054360.8034</v>
      </c>
      <c r="L19" s="27">
        <f t="shared" si="0"/>
        <v>99.696537308075762</v>
      </c>
      <c r="M19" s="27">
        <f t="shared" si="1"/>
        <v>99.696537308075762</v>
      </c>
    </row>
    <row r="20" spans="1:13" x14ac:dyDescent="0.2">
      <c r="A20" s="32" t="s">
        <v>35</v>
      </c>
      <c r="B20" s="32"/>
      <c r="C20" s="33" t="s">
        <v>36</v>
      </c>
      <c r="D20" s="34">
        <v>532205306.80000001</v>
      </c>
      <c r="E20" s="34">
        <v>591395367.10000002</v>
      </c>
      <c r="F20" s="34">
        <v>612309037.5</v>
      </c>
      <c r="G20" s="34">
        <v>612309037.5</v>
      </c>
      <c r="H20" s="34">
        <v>612309037.5</v>
      </c>
      <c r="I20" s="34">
        <v>611854477.1925</v>
      </c>
      <c r="J20" s="34">
        <f t="shared" si="2"/>
        <v>828654.91589999199</v>
      </c>
      <c r="K20" s="34">
        <v>611025822.2766</v>
      </c>
      <c r="L20" s="35">
        <f t="shared" si="0"/>
        <v>99.790430134979019</v>
      </c>
      <c r="M20" s="35">
        <f t="shared" si="1"/>
        <v>99.790430134979019</v>
      </c>
    </row>
    <row r="21" spans="1:13" x14ac:dyDescent="0.2">
      <c r="A21" s="32" t="s">
        <v>37</v>
      </c>
      <c r="B21" s="32"/>
      <c r="C21" s="33" t="s">
        <v>38</v>
      </c>
      <c r="D21" s="34">
        <v>542944723.20000005</v>
      </c>
      <c r="E21" s="34">
        <v>542171247.79999995</v>
      </c>
      <c r="F21" s="34">
        <v>542431756.10000002</v>
      </c>
      <c r="G21" s="34">
        <v>542431756.10000002</v>
      </c>
      <c r="H21" s="34">
        <v>542431756.10000002</v>
      </c>
      <c r="I21" s="34">
        <v>542169329.33800006</v>
      </c>
      <c r="J21" s="34">
        <f t="shared" si="2"/>
        <v>39947.272200107574</v>
      </c>
      <c r="K21" s="34">
        <v>542129382.06579995</v>
      </c>
      <c r="L21" s="35">
        <f t="shared" si="0"/>
        <v>99.944255838490335</v>
      </c>
      <c r="M21" s="35">
        <f t="shared" si="1"/>
        <v>99.944255838490335</v>
      </c>
    </row>
    <row r="22" spans="1:13" ht="22.5" x14ac:dyDescent="0.2">
      <c r="A22" s="32" t="s">
        <v>39</v>
      </c>
      <c r="B22" s="32"/>
      <c r="C22" s="33" t="s">
        <v>40</v>
      </c>
      <c r="D22" s="34">
        <v>692359642.10000002</v>
      </c>
      <c r="E22" s="34">
        <v>799195081.79999995</v>
      </c>
      <c r="F22" s="34">
        <v>795383294.10000002</v>
      </c>
      <c r="G22" s="34">
        <v>795383294.10000002</v>
      </c>
      <c r="H22" s="34">
        <v>795383294.10000002</v>
      </c>
      <c r="I22" s="34">
        <v>795309781.19219995</v>
      </c>
      <c r="J22" s="34">
        <f t="shared" si="2"/>
        <v>220176.04369997978</v>
      </c>
      <c r="K22" s="34">
        <v>795089605.14849997</v>
      </c>
      <c r="L22" s="35">
        <f t="shared" si="0"/>
        <v>99.9630757958234</v>
      </c>
      <c r="M22" s="35">
        <f t="shared" si="1"/>
        <v>99.9630757958234</v>
      </c>
    </row>
    <row r="23" spans="1:13" x14ac:dyDescent="0.2">
      <c r="A23" s="32" t="s">
        <v>41</v>
      </c>
      <c r="B23" s="32"/>
      <c r="C23" s="33" t="s">
        <v>42</v>
      </c>
      <c r="D23" s="34">
        <v>1854987235.7</v>
      </c>
      <c r="E23" s="34">
        <v>2075323490.8</v>
      </c>
      <c r="F23" s="34">
        <v>1950927919.5999999</v>
      </c>
      <c r="G23" s="34">
        <v>1950927919.5999999</v>
      </c>
      <c r="H23" s="34">
        <v>1950927919.5999999</v>
      </c>
      <c r="I23" s="34">
        <v>1949798943.3685999</v>
      </c>
      <c r="J23" s="34">
        <f t="shared" si="2"/>
        <v>1322022.1266999245</v>
      </c>
      <c r="K23" s="34">
        <v>1948476921.2419</v>
      </c>
      <c r="L23" s="35">
        <f t="shared" si="0"/>
        <v>99.874367559484085</v>
      </c>
      <c r="M23" s="35">
        <f t="shared" si="1"/>
        <v>99.874367559484085</v>
      </c>
    </row>
    <row r="24" spans="1:13" x14ac:dyDescent="0.2">
      <c r="A24" s="32" t="s">
        <v>43</v>
      </c>
      <c r="B24" s="32"/>
      <c r="C24" s="33" t="s">
        <v>44</v>
      </c>
      <c r="D24" s="34">
        <v>1212963202.5</v>
      </c>
      <c r="E24" s="34">
        <v>1223001630.7</v>
      </c>
      <c r="F24" s="34">
        <v>1175600861</v>
      </c>
      <c r="G24" s="34">
        <v>1175600861</v>
      </c>
      <c r="H24" s="34">
        <v>1175600861</v>
      </c>
      <c r="I24" s="34">
        <v>1173634058.286</v>
      </c>
      <c r="J24" s="34">
        <f t="shared" si="2"/>
        <v>321503.88560009003</v>
      </c>
      <c r="K24" s="34">
        <v>1173312554.4003999</v>
      </c>
      <c r="L24" s="35">
        <f t="shared" si="0"/>
        <v>99.805350040518547</v>
      </c>
      <c r="M24" s="35">
        <f t="shared" si="1"/>
        <v>99.805350040518547</v>
      </c>
    </row>
    <row r="25" spans="1:13" x14ac:dyDescent="0.2">
      <c r="A25" s="32" t="s">
        <v>45</v>
      </c>
      <c r="B25" s="32"/>
      <c r="C25" s="33" t="s">
        <v>46</v>
      </c>
      <c r="D25" s="34">
        <v>2814888596</v>
      </c>
      <c r="E25" s="34">
        <v>2795088654.3000002</v>
      </c>
      <c r="F25" s="34">
        <v>2751817177.4000001</v>
      </c>
      <c r="G25" s="34">
        <v>2751817177.4000001</v>
      </c>
      <c r="H25" s="34">
        <v>2751817177.4000001</v>
      </c>
      <c r="I25" s="34">
        <v>2751576032.4313998</v>
      </c>
      <c r="J25" s="34">
        <f t="shared" si="2"/>
        <v>222478.34969997406</v>
      </c>
      <c r="K25" s="34">
        <v>2751353554.0816998</v>
      </c>
      <c r="L25" s="35">
        <f t="shared" si="0"/>
        <v>99.983152103195366</v>
      </c>
      <c r="M25" s="35">
        <f t="shared" si="1"/>
        <v>99.983152103195366</v>
      </c>
    </row>
    <row r="26" spans="1:13" x14ac:dyDescent="0.2">
      <c r="A26" s="32" t="s">
        <v>47</v>
      </c>
      <c r="B26" s="32"/>
      <c r="C26" s="33" t="s">
        <v>48</v>
      </c>
      <c r="D26" s="34">
        <v>679661588</v>
      </c>
      <c r="E26" s="34">
        <v>946396811</v>
      </c>
      <c r="F26" s="34">
        <v>753272126.39999998</v>
      </c>
      <c r="G26" s="34">
        <v>753272126.39999998</v>
      </c>
      <c r="H26" s="34">
        <v>753272126.39999998</v>
      </c>
      <c r="I26" s="34">
        <v>751767855.29729998</v>
      </c>
      <c r="J26" s="34">
        <f t="shared" si="2"/>
        <v>2737481.7581999302</v>
      </c>
      <c r="K26" s="34">
        <v>749030373.53910005</v>
      </c>
      <c r="L26" s="35">
        <f t="shared" si="0"/>
        <v>99.43688970927785</v>
      </c>
      <c r="M26" s="35">
        <f t="shared" si="1"/>
        <v>99.43688970927785</v>
      </c>
    </row>
    <row r="27" spans="1:13" x14ac:dyDescent="0.2">
      <c r="A27" s="32" t="s">
        <v>49</v>
      </c>
      <c r="B27" s="32"/>
      <c r="C27" s="33" t="s">
        <v>50</v>
      </c>
      <c r="D27" s="34">
        <v>385716495.60000002</v>
      </c>
      <c r="E27" s="34">
        <v>448786852.10000002</v>
      </c>
      <c r="F27" s="34">
        <v>450013217.69999999</v>
      </c>
      <c r="G27" s="34">
        <v>450013217.69999999</v>
      </c>
      <c r="H27" s="34">
        <v>450013217.69999999</v>
      </c>
      <c r="I27" s="34">
        <v>449694679.35519999</v>
      </c>
      <c r="J27" s="34">
        <f t="shared" si="2"/>
        <v>403223.44529998302</v>
      </c>
      <c r="K27" s="34">
        <v>449291455.90990001</v>
      </c>
      <c r="L27" s="35">
        <f t="shared" si="0"/>
        <v>99.839613202076848</v>
      </c>
      <c r="M27" s="35">
        <f t="shared" si="1"/>
        <v>99.839613202076848</v>
      </c>
    </row>
    <row r="28" spans="1:13" x14ac:dyDescent="0.2">
      <c r="A28" s="32" t="s">
        <v>51</v>
      </c>
      <c r="B28" s="32"/>
      <c r="C28" s="33" t="s">
        <v>52</v>
      </c>
      <c r="D28" s="34">
        <v>152804125</v>
      </c>
      <c r="E28" s="34">
        <v>180577762.19999999</v>
      </c>
      <c r="F28" s="34">
        <v>130589948.90000001</v>
      </c>
      <c r="G28" s="34">
        <v>130589948.90000001</v>
      </c>
      <c r="H28" s="34">
        <v>130589948.90000001</v>
      </c>
      <c r="I28" s="34">
        <v>130544481.287</v>
      </c>
      <c r="J28" s="34">
        <f t="shared" si="2"/>
        <v>55240.310699999332</v>
      </c>
      <c r="K28" s="34">
        <v>130489240.9763</v>
      </c>
      <c r="L28" s="35">
        <f t="shared" si="0"/>
        <v>99.922882331643208</v>
      </c>
      <c r="M28" s="35">
        <f t="shared" si="1"/>
        <v>99.922882331643208</v>
      </c>
    </row>
    <row r="29" spans="1:13" ht="33.75" x14ac:dyDescent="0.2">
      <c r="A29" s="32" t="s">
        <v>53</v>
      </c>
      <c r="B29" s="32"/>
      <c r="C29" s="33" t="s">
        <v>54</v>
      </c>
      <c r="D29" s="34">
        <v>481764179.39999998</v>
      </c>
      <c r="E29" s="34">
        <v>511926335.80000001</v>
      </c>
      <c r="F29" s="34">
        <v>502670221.60000002</v>
      </c>
      <c r="G29" s="34">
        <v>502670221.60000002</v>
      </c>
      <c r="H29" s="34">
        <v>502670221.60000002</v>
      </c>
      <c r="I29" s="34">
        <v>502154221.76880002</v>
      </c>
      <c r="J29" s="34">
        <f t="shared" si="2"/>
        <v>318799.37350004911</v>
      </c>
      <c r="K29" s="34">
        <v>501835422.39529997</v>
      </c>
      <c r="L29" s="35">
        <f t="shared" si="0"/>
        <v>99.833927062151631</v>
      </c>
      <c r="M29" s="35">
        <f t="shared" si="1"/>
        <v>99.833927062151631</v>
      </c>
    </row>
    <row r="30" spans="1:13" ht="22.5" x14ac:dyDescent="0.2">
      <c r="A30" s="32" t="s">
        <v>55</v>
      </c>
      <c r="B30" s="32"/>
      <c r="C30" s="33" t="s">
        <v>56</v>
      </c>
      <c r="D30" s="34">
        <v>22504169</v>
      </c>
      <c r="E30" s="34">
        <v>30429417.399999999</v>
      </c>
      <c r="F30" s="34">
        <v>35980080.200000003</v>
      </c>
      <c r="G30" s="34">
        <v>35980080.200000003</v>
      </c>
      <c r="H30" s="34">
        <v>35980080.200000003</v>
      </c>
      <c r="I30" s="34">
        <v>35878984.617200002</v>
      </c>
      <c r="J30" s="34">
        <f t="shared" si="2"/>
        <v>18857.678000003099</v>
      </c>
      <c r="K30" s="34">
        <v>35860126.939199999</v>
      </c>
      <c r="L30" s="35">
        <f t="shared" si="0"/>
        <v>99.666612024950396</v>
      </c>
      <c r="M30" s="35">
        <f t="shared" si="1"/>
        <v>99.666612024950396</v>
      </c>
    </row>
    <row r="31" spans="1:13" x14ac:dyDescent="0.2">
      <c r="A31" s="32" t="s">
        <v>57</v>
      </c>
      <c r="B31" s="32"/>
      <c r="C31" s="33" t="s">
        <v>58</v>
      </c>
      <c r="D31" s="34">
        <v>850973585.29999995</v>
      </c>
      <c r="E31" s="34">
        <v>969680439.5</v>
      </c>
      <c r="F31" s="34">
        <v>836297816.5</v>
      </c>
      <c r="G31" s="34">
        <v>836297816.5</v>
      </c>
      <c r="H31" s="34">
        <v>836297816.5</v>
      </c>
      <c r="I31" s="34">
        <v>835818507.68009996</v>
      </c>
      <c r="J31" s="34">
        <f t="shared" si="2"/>
        <v>1631269.9757000208</v>
      </c>
      <c r="K31" s="34">
        <v>834187237.70439994</v>
      </c>
      <c r="L31" s="35">
        <f t="shared" si="0"/>
        <v>99.747628326421676</v>
      </c>
      <c r="M31" s="35">
        <f t="shared" si="1"/>
        <v>99.747628326421676</v>
      </c>
    </row>
    <row r="32" spans="1:13" x14ac:dyDescent="0.2">
      <c r="A32" s="32" t="s">
        <v>59</v>
      </c>
      <c r="B32" s="32"/>
      <c r="C32" s="33" t="s">
        <v>60</v>
      </c>
      <c r="D32" s="34">
        <v>303840832</v>
      </c>
      <c r="E32" s="34">
        <v>373689627.19999999</v>
      </c>
      <c r="F32" s="34">
        <v>245146810.59999999</v>
      </c>
      <c r="G32" s="34">
        <v>245146810.59999999</v>
      </c>
      <c r="H32" s="34">
        <v>245146810.59999999</v>
      </c>
      <c r="I32" s="34">
        <v>227559387.84909999</v>
      </c>
      <c r="J32" s="34">
        <f t="shared" si="2"/>
        <v>1716174.6636999846</v>
      </c>
      <c r="K32" s="34">
        <v>225843213.18540001</v>
      </c>
      <c r="L32" s="35">
        <f t="shared" si="0"/>
        <v>92.125699140301194</v>
      </c>
      <c r="M32" s="35">
        <f t="shared" si="1"/>
        <v>92.125699140301194</v>
      </c>
    </row>
    <row r="33" spans="1:13" x14ac:dyDescent="0.2">
      <c r="A33" s="32" t="s">
        <v>61</v>
      </c>
      <c r="B33" s="32"/>
      <c r="C33" s="33" t="s">
        <v>62</v>
      </c>
      <c r="D33" s="34">
        <v>601945015.20000005</v>
      </c>
      <c r="E33" s="34">
        <v>594953055.5</v>
      </c>
      <c r="F33" s="34">
        <v>587682928.5</v>
      </c>
      <c r="G33" s="34">
        <v>587682928.5</v>
      </c>
      <c r="H33" s="34">
        <v>587682928.5</v>
      </c>
      <c r="I33" s="34">
        <v>587681019.16079998</v>
      </c>
      <c r="J33" s="34">
        <f t="shared" si="2"/>
        <v>18343.003600001335</v>
      </c>
      <c r="K33" s="34">
        <v>587662676.15719998</v>
      </c>
      <c r="L33" s="35">
        <f t="shared" si="0"/>
        <v>99.996553865729652</v>
      </c>
      <c r="M33" s="35">
        <f t="shared" si="1"/>
        <v>99.996553865729652</v>
      </c>
    </row>
    <row r="34" spans="1:13" x14ac:dyDescent="0.2">
      <c r="A34" s="32" t="s">
        <v>63</v>
      </c>
      <c r="B34" s="32"/>
      <c r="C34" s="33" t="s">
        <v>64</v>
      </c>
      <c r="D34" s="34">
        <v>2644662</v>
      </c>
      <c r="E34" s="34">
        <v>10467010.1</v>
      </c>
      <c r="F34" s="34">
        <v>10467010.1</v>
      </c>
      <c r="G34" s="34">
        <v>10467010.1</v>
      </c>
      <c r="H34" s="34">
        <v>10467010.1</v>
      </c>
      <c r="I34" s="34">
        <v>10466774.782400001</v>
      </c>
      <c r="J34" s="34">
        <f t="shared" si="2"/>
        <v>0</v>
      </c>
      <c r="K34" s="34">
        <v>10466774.782400001</v>
      </c>
      <c r="L34" s="35">
        <f t="shared" si="0"/>
        <v>99.997751816442801</v>
      </c>
      <c r="M34" s="35">
        <f t="shared" si="1"/>
        <v>99.997751816442801</v>
      </c>
    </row>
    <row r="35" spans="1:13" ht="12" x14ac:dyDescent="0.2">
      <c r="A35" s="24"/>
      <c r="B35" s="24"/>
      <c r="C35" s="25" t="s">
        <v>65</v>
      </c>
      <c r="D35" s="26">
        <v>104282682.59999999</v>
      </c>
      <c r="E35" s="26">
        <v>156788127</v>
      </c>
      <c r="F35" s="26">
        <v>156753454</v>
      </c>
      <c r="G35" s="26">
        <v>156753454</v>
      </c>
      <c r="H35" s="26"/>
      <c r="I35" s="26"/>
      <c r="J35" s="26"/>
      <c r="K35" s="26">
        <v>162839576.206</v>
      </c>
      <c r="L35" s="27"/>
      <c r="M35" s="27"/>
    </row>
    <row r="36" spans="1:13" x14ac:dyDescent="0.2">
      <c r="A36" s="28"/>
      <c r="B36" s="28"/>
      <c r="C36" s="29" t="s">
        <v>66</v>
      </c>
      <c r="D36" s="30">
        <v>225706719</v>
      </c>
      <c r="E36" s="30">
        <v>273154924</v>
      </c>
      <c r="F36" s="30">
        <v>273139352.80000001</v>
      </c>
      <c r="G36" s="30">
        <v>273139352.80000001</v>
      </c>
      <c r="H36" s="30">
        <v>273139352.80000001</v>
      </c>
      <c r="I36" s="30">
        <v>272937051.65890002</v>
      </c>
      <c r="J36" s="30">
        <f t="shared" ref="J36:J42" si="3">I36-K36</f>
        <v>0</v>
      </c>
      <c r="K36" s="30">
        <v>272937051.65890002</v>
      </c>
      <c r="L36" s="31">
        <f t="shared" ref="L36:L44" si="4">IF(G36=0,0,K36/G36*100)</f>
        <v>99.925934824467376</v>
      </c>
      <c r="M36" s="31">
        <f t="shared" ref="M36:M44" si="5">IF(F36=0,0,K36/F36*100)</f>
        <v>99.925934824467376</v>
      </c>
    </row>
    <row r="37" spans="1:13" x14ac:dyDescent="0.2">
      <c r="A37" s="32" t="s">
        <v>45</v>
      </c>
      <c r="B37" s="32"/>
      <c r="C37" s="33" t="s">
        <v>46</v>
      </c>
      <c r="D37" s="34">
        <v>6275678</v>
      </c>
      <c r="E37" s="34">
        <v>2693890</v>
      </c>
      <c r="F37" s="34">
        <v>2693890</v>
      </c>
      <c r="G37" s="34">
        <v>2693890</v>
      </c>
      <c r="H37" s="34">
        <v>2693890</v>
      </c>
      <c r="I37" s="34">
        <v>2693890</v>
      </c>
      <c r="J37" s="34">
        <f t="shared" si="3"/>
        <v>0</v>
      </c>
      <c r="K37" s="34">
        <v>2693890</v>
      </c>
      <c r="L37" s="35">
        <f t="shared" si="4"/>
        <v>100</v>
      </c>
      <c r="M37" s="35">
        <f t="shared" si="5"/>
        <v>100</v>
      </c>
    </row>
    <row r="38" spans="1:13" x14ac:dyDescent="0.2">
      <c r="A38" s="32" t="s">
        <v>47</v>
      </c>
      <c r="B38" s="32"/>
      <c r="C38" s="33" t="s">
        <v>48</v>
      </c>
      <c r="D38" s="34">
        <v>34905291</v>
      </c>
      <c r="E38" s="34">
        <v>46727170</v>
      </c>
      <c r="F38" s="34">
        <v>46711658.799999997</v>
      </c>
      <c r="G38" s="34">
        <v>46711658.799999997</v>
      </c>
      <c r="H38" s="34">
        <v>46711658.799999997</v>
      </c>
      <c r="I38" s="34">
        <v>46711658.6241</v>
      </c>
      <c r="J38" s="34">
        <f t="shared" si="3"/>
        <v>0</v>
      </c>
      <c r="K38" s="34">
        <v>46711658.6241</v>
      </c>
      <c r="L38" s="35">
        <f t="shared" si="4"/>
        <v>99.999999623434491</v>
      </c>
      <c r="M38" s="35">
        <f t="shared" si="5"/>
        <v>99.999999623434491</v>
      </c>
    </row>
    <row r="39" spans="1:13" ht="33.75" x14ac:dyDescent="0.2">
      <c r="A39" s="32" t="s">
        <v>53</v>
      </c>
      <c r="B39" s="32"/>
      <c r="C39" s="33" t="s">
        <v>54</v>
      </c>
      <c r="D39" s="34">
        <v>101081398</v>
      </c>
      <c r="E39" s="34">
        <v>120291480.8</v>
      </c>
      <c r="F39" s="34">
        <v>120291420.8</v>
      </c>
      <c r="G39" s="34">
        <v>120291420.8</v>
      </c>
      <c r="H39" s="34">
        <v>120291420.8</v>
      </c>
      <c r="I39" s="34">
        <v>120089119.95100001</v>
      </c>
      <c r="J39" s="34">
        <f t="shared" si="3"/>
        <v>0</v>
      </c>
      <c r="K39" s="34">
        <v>120089119.95100001</v>
      </c>
      <c r="L39" s="35">
        <f t="shared" si="4"/>
        <v>99.831824374793655</v>
      </c>
      <c r="M39" s="35">
        <f t="shared" si="5"/>
        <v>99.831824374793655</v>
      </c>
    </row>
    <row r="40" spans="1:13" ht="22.5" x14ac:dyDescent="0.2">
      <c r="A40" s="32" t="s">
        <v>55</v>
      </c>
      <c r="B40" s="32"/>
      <c r="C40" s="33" t="s">
        <v>56</v>
      </c>
      <c r="D40" s="34">
        <v>0</v>
      </c>
      <c r="E40" s="34">
        <v>13000000</v>
      </c>
      <c r="F40" s="34">
        <v>13000000</v>
      </c>
      <c r="G40" s="34">
        <v>13000000</v>
      </c>
      <c r="H40" s="34">
        <v>13000000</v>
      </c>
      <c r="I40" s="34">
        <v>13000000</v>
      </c>
      <c r="J40" s="34">
        <f t="shared" si="3"/>
        <v>0</v>
      </c>
      <c r="K40" s="34">
        <v>13000000</v>
      </c>
      <c r="L40" s="35">
        <f t="shared" si="4"/>
        <v>100</v>
      </c>
      <c r="M40" s="35">
        <f t="shared" si="5"/>
        <v>100</v>
      </c>
    </row>
    <row r="41" spans="1:13" x14ac:dyDescent="0.2">
      <c r="A41" s="32" t="s">
        <v>57</v>
      </c>
      <c r="B41" s="32"/>
      <c r="C41" s="33" t="s">
        <v>58</v>
      </c>
      <c r="D41" s="34">
        <v>17000000</v>
      </c>
      <c r="E41" s="34">
        <v>12537182</v>
      </c>
      <c r="F41" s="34">
        <v>12537182</v>
      </c>
      <c r="G41" s="34">
        <v>12537182</v>
      </c>
      <c r="H41" s="34">
        <v>12537182</v>
      </c>
      <c r="I41" s="34">
        <v>12537182</v>
      </c>
      <c r="J41" s="34">
        <f t="shared" si="3"/>
        <v>0</v>
      </c>
      <c r="K41" s="34">
        <v>12537182</v>
      </c>
      <c r="L41" s="35">
        <f t="shared" si="4"/>
        <v>100</v>
      </c>
      <c r="M41" s="35">
        <f t="shared" si="5"/>
        <v>100</v>
      </c>
    </row>
    <row r="42" spans="1:13" x14ac:dyDescent="0.2">
      <c r="A42" s="32" t="s">
        <v>59</v>
      </c>
      <c r="B42" s="32"/>
      <c r="C42" s="33" t="s">
        <v>60</v>
      </c>
      <c r="D42" s="34">
        <v>66444352</v>
      </c>
      <c r="E42" s="34">
        <v>77905201.200000003</v>
      </c>
      <c r="F42" s="34">
        <v>77905201.200000003</v>
      </c>
      <c r="G42" s="34">
        <v>77905201.200000003</v>
      </c>
      <c r="H42" s="34">
        <v>77905201.200000003</v>
      </c>
      <c r="I42" s="34">
        <v>77905201.083800003</v>
      </c>
      <c r="J42" s="34">
        <f t="shared" si="3"/>
        <v>0</v>
      </c>
      <c r="K42" s="34">
        <v>77905201.083800003</v>
      </c>
      <c r="L42" s="35">
        <f t="shared" si="4"/>
        <v>99.999999850844361</v>
      </c>
      <c r="M42" s="35">
        <f t="shared" si="5"/>
        <v>99.999999850844361</v>
      </c>
    </row>
    <row r="43" spans="1:13" x14ac:dyDescent="0.2">
      <c r="A43" s="28"/>
      <c r="B43" s="28"/>
      <c r="C43" s="29" t="s">
        <v>67</v>
      </c>
      <c r="D43" s="30">
        <v>121424036.40000001</v>
      </c>
      <c r="E43" s="30">
        <v>116366797</v>
      </c>
      <c r="F43" s="30">
        <v>116385898.8</v>
      </c>
      <c r="G43" s="30">
        <v>116385898.8</v>
      </c>
      <c r="H43" s="30"/>
      <c r="I43" s="30"/>
      <c r="J43" s="30"/>
      <c r="K43" s="30">
        <v>110097475.4525</v>
      </c>
      <c r="L43" s="31">
        <f t="shared" si="4"/>
        <v>94.596919891209367</v>
      </c>
      <c r="M43" s="31">
        <f t="shared" si="5"/>
        <v>94.596919891209367</v>
      </c>
    </row>
    <row r="44" spans="1:13" x14ac:dyDescent="0.2">
      <c r="A44" s="32" t="s">
        <v>68</v>
      </c>
      <c r="B44" s="32"/>
      <c r="C44" s="33" t="s">
        <v>69</v>
      </c>
      <c r="D44" s="34">
        <v>121424036.40000001</v>
      </c>
      <c r="E44" s="34">
        <v>116366797</v>
      </c>
      <c r="F44" s="34">
        <v>116385898.8</v>
      </c>
      <c r="G44" s="34">
        <v>116385898.8</v>
      </c>
      <c r="H44" s="34"/>
      <c r="I44" s="34"/>
      <c r="J44" s="34"/>
      <c r="K44" s="34">
        <v>110097475.4525</v>
      </c>
      <c r="L44" s="35">
        <f t="shared" si="4"/>
        <v>94.596919891209367</v>
      </c>
      <c r="M44" s="35">
        <f t="shared" si="5"/>
        <v>94.596919891209367</v>
      </c>
    </row>
    <row r="45" spans="1:13" ht="24" x14ac:dyDescent="0.2">
      <c r="A45" s="24"/>
      <c r="B45" s="24"/>
      <c r="C45" s="25" t="s">
        <v>70</v>
      </c>
      <c r="D45" s="26">
        <v>75073846</v>
      </c>
      <c r="E45" s="26">
        <v>133578352.90000001</v>
      </c>
      <c r="F45" s="26">
        <v>134484352.90000001</v>
      </c>
      <c r="G45" s="26">
        <v>134484352.90000001</v>
      </c>
      <c r="H45" s="26"/>
      <c r="I45" s="26"/>
      <c r="J45" s="26"/>
      <c r="K45" s="26">
        <v>132751291.19</v>
      </c>
      <c r="L45" s="27"/>
      <c r="M45" s="27"/>
    </row>
    <row r="46" spans="1:13" x14ac:dyDescent="0.2">
      <c r="A46" s="28"/>
      <c r="B46" s="28"/>
      <c r="C46" s="29" t="s">
        <v>71</v>
      </c>
      <c r="D46" s="30">
        <v>75589075</v>
      </c>
      <c r="E46" s="30">
        <v>137847108.5</v>
      </c>
      <c r="F46" s="30">
        <v>138753108.5</v>
      </c>
      <c r="G46" s="30">
        <v>138753108.5</v>
      </c>
      <c r="H46" s="30">
        <v>138753108.5</v>
      </c>
      <c r="I46" s="30">
        <v>138748126.08840001</v>
      </c>
      <c r="J46" s="30">
        <f t="shared" ref="J46:J53" si="6">I46-K46</f>
        <v>0</v>
      </c>
      <c r="K46" s="30">
        <v>138748126.08840001</v>
      </c>
      <c r="L46" s="31">
        <f t="shared" ref="L46:L55" si="7">IF(G46=0,0,K46/G46*100)</f>
        <v>99.996409153168628</v>
      </c>
      <c r="M46" s="31">
        <f t="shared" ref="M46:M55" si="8">IF(F46=0,0,K46/F46*100)</f>
        <v>99.996409153168628</v>
      </c>
    </row>
    <row r="47" spans="1:13" x14ac:dyDescent="0.2">
      <c r="A47" s="32" t="s">
        <v>35</v>
      </c>
      <c r="B47" s="32"/>
      <c r="C47" s="33" t="s">
        <v>36</v>
      </c>
      <c r="D47" s="34">
        <v>10028145</v>
      </c>
      <c r="E47" s="34">
        <v>9741952</v>
      </c>
      <c r="F47" s="34">
        <v>9741952</v>
      </c>
      <c r="G47" s="34">
        <v>9741952</v>
      </c>
      <c r="H47" s="34">
        <v>9741952</v>
      </c>
      <c r="I47" s="34">
        <v>9741951.0392000005</v>
      </c>
      <c r="J47" s="34">
        <f t="shared" si="6"/>
        <v>0</v>
      </c>
      <c r="K47" s="34">
        <v>9741951.0392000005</v>
      </c>
      <c r="L47" s="35">
        <f t="shared" si="7"/>
        <v>99.999990137500177</v>
      </c>
      <c r="M47" s="35">
        <f t="shared" si="8"/>
        <v>99.999990137500177</v>
      </c>
    </row>
    <row r="48" spans="1:13" x14ac:dyDescent="0.2">
      <c r="A48" s="32" t="s">
        <v>41</v>
      </c>
      <c r="B48" s="32"/>
      <c r="C48" s="33" t="s">
        <v>42</v>
      </c>
      <c r="D48" s="34">
        <v>0</v>
      </c>
      <c r="E48" s="34">
        <v>223099</v>
      </c>
      <c r="F48" s="34">
        <v>223099</v>
      </c>
      <c r="G48" s="34">
        <v>223099</v>
      </c>
      <c r="H48" s="34">
        <v>223099</v>
      </c>
      <c r="I48" s="34">
        <v>223098.8</v>
      </c>
      <c r="J48" s="34">
        <f t="shared" si="6"/>
        <v>0</v>
      </c>
      <c r="K48" s="34">
        <v>223098.8</v>
      </c>
      <c r="L48" s="35">
        <f t="shared" si="7"/>
        <v>99.999910353699477</v>
      </c>
      <c r="M48" s="35">
        <f t="shared" si="8"/>
        <v>99.999910353699477</v>
      </c>
    </row>
    <row r="49" spans="1:13" x14ac:dyDescent="0.2">
      <c r="A49" s="32" t="s">
        <v>47</v>
      </c>
      <c r="B49" s="32"/>
      <c r="C49" s="33" t="s">
        <v>48</v>
      </c>
      <c r="D49" s="34">
        <v>41103</v>
      </c>
      <c r="E49" s="34">
        <v>51103</v>
      </c>
      <c r="F49" s="34">
        <v>51103</v>
      </c>
      <c r="G49" s="34">
        <v>51103</v>
      </c>
      <c r="H49" s="34">
        <v>51103</v>
      </c>
      <c r="I49" s="34">
        <v>51103</v>
      </c>
      <c r="J49" s="34">
        <f t="shared" si="6"/>
        <v>0</v>
      </c>
      <c r="K49" s="34">
        <v>51103</v>
      </c>
      <c r="L49" s="35">
        <f t="shared" si="7"/>
        <v>100</v>
      </c>
      <c r="M49" s="35">
        <f t="shared" si="8"/>
        <v>100</v>
      </c>
    </row>
    <row r="50" spans="1:13" ht="33.75" x14ac:dyDescent="0.2">
      <c r="A50" s="32" t="s">
        <v>53</v>
      </c>
      <c r="B50" s="32"/>
      <c r="C50" s="33" t="s">
        <v>54</v>
      </c>
      <c r="D50" s="34">
        <v>12830929</v>
      </c>
      <c r="E50" s="34">
        <v>31957731</v>
      </c>
      <c r="F50" s="34">
        <v>31957731</v>
      </c>
      <c r="G50" s="34">
        <v>31957731</v>
      </c>
      <c r="H50" s="34">
        <v>31957731</v>
      </c>
      <c r="I50" s="34">
        <v>31957730.07</v>
      </c>
      <c r="J50" s="34">
        <f t="shared" si="6"/>
        <v>0</v>
      </c>
      <c r="K50" s="34">
        <v>31957730.07</v>
      </c>
      <c r="L50" s="35">
        <f t="shared" si="7"/>
        <v>99.999997089906032</v>
      </c>
      <c r="M50" s="35">
        <f t="shared" si="8"/>
        <v>99.999997089906032</v>
      </c>
    </row>
    <row r="51" spans="1:13" ht="22.5" x14ac:dyDescent="0.2">
      <c r="A51" s="32" t="s">
        <v>55</v>
      </c>
      <c r="B51" s="32"/>
      <c r="C51" s="33" t="s">
        <v>56</v>
      </c>
      <c r="D51" s="34">
        <v>169414</v>
      </c>
      <c r="E51" s="34">
        <v>169414</v>
      </c>
      <c r="F51" s="34">
        <v>169414</v>
      </c>
      <c r="G51" s="34">
        <v>169414</v>
      </c>
      <c r="H51" s="34">
        <v>169414</v>
      </c>
      <c r="I51" s="34">
        <v>169414</v>
      </c>
      <c r="J51" s="34">
        <f t="shared" si="6"/>
        <v>0</v>
      </c>
      <c r="K51" s="34">
        <v>169414</v>
      </c>
      <c r="L51" s="35">
        <f t="shared" si="7"/>
        <v>100</v>
      </c>
      <c r="M51" s="35">
        <f t="shared" si="8"/>
        <v>100</v>
      </c>
    </row>
    <row r="52" spans="1:13" x14ac:dyDescent="0.2">
      <c r="A52" s="32" t="s">
        <v>57</v>
      </c>
      <c r="B52" s="32"/>
      <c r="C52" s="33" t="s">
        <v>58</v>
      </c>
      <c r="D52" s="34">
        <v>31311281</v>
      </c>
      <c r="E52" s="34">
        <v>32247026</v>
      </c>
      <c r="F52" s="34">
        <v>33153026</v>
      </c>
      <c r="G52" s="34">
        <v>33153026</v>
      </c>
      <c r="H52" s="34">
        <v>33153026</v>
      </c>
      <c r="I52" s="34">
        <v>33153026</v>
      </c>
      <c r="J52" s="34">
        <f t="shared" si="6"/>
        <v>0</v>
      </c>
      <c r="K52" s="34">
        <v>33153026</v>
      </c>
      <c r="L52" s="35">
        <f t="shared" si="7"/>
        <v>100</v>
      </c>
      <c r="M52" s="35">
        <f t="shared" si="8"/>
        <v>100</v>
      </c>
    </row>
    <row r="53" spans="1:13" x14ac:dyDescent="0.2">
      <c r="A53" s="32" t="s">
        <v>59</v>
      </c>
      <c r="B53" s="32"/>
      <c r="C53" s="33" t="s">
        <v>60</v>
      </c>
      <c r="D53" s="34">
        <v>21208203</v>
      </c>
      <c r="E53" s="34">
        <v>63456783.5</v>
      </c>
      <c r="F53" s="34">
        <v>63456783.5</v>
      </c>
      <c r="G53" s="34">
        <v>63456783.5</v>
      </c>
      <c r="H53" s="34">
        <v>63456783.5</v>
      </c>
      <c r="I53" s="34">
        <v>63451803.179200001</v>
      </c>
      <c r="J53" s="34">
        <f t="shared" si="6"/>
        <v>0</v>
      </c>
      <c r="K53" s="34">
        <v>63451803.179200001</v>
      </c>
      <c r="L53" s="35">
        <f t="shared" si="7"/>
        <v>99.992151633717768</v>
      </c>
      <c r="M53" s="35">
        <f t="shared" si="8"/>
        <v>99.992151633717768</v>
      </c>
    </row>
    <row r="54" spans="1:13" ht="21" x14ac:dyDescent="0.2">
      <c r="A54" s="28"/>
      <c r="B54" s="28"/>
      <c r="C54" s="29" t="s">
        <v>72</v>
      </c>
      <c r="D54" s="30">
        <v>515229</v>
      </c>
      <c r="E54" s="30">
        <v>4268755.5999999996</v>
      </c>
      <c r="F54" s="30">
        <v>4268755.5999999996</v>
      </c>
      <c r="G54" s="30">
        <v>4268755.5999999996</v>
      </c>
      <c r="H54" s="30"/>
      <c r="I54" s="30"/>
      <c r="J54" s="30"/>
      <c r="K54" s="30">
        <v>5996834.8979000002</v>
      </c>
      <c r="L54" s="31">
        <f t="shared" si="7"/>
        <v>140.48203879135178</v>
      </c>
      <c r="M54" s="31">
        <f t="shared" si="8"/>
        <v>140.48203879135178</v>
      </c>
    </row>
    <row r="55" spans="1:13" x14ac:dyDescent="0.2">
      <c r="A55" s="32" t="s">
        <v>73</v>
      </c>
      <c r="B55" s="32"/>
      <c r="C55" s="33" t="s">
        <v>74</v>
      </c>
      <c r="D55" s="34">
        <v>515229</v>
      </c>
      <c r="E55" s="34">
        <v>4268755.5999999996</v>
      </c>
      <c r="F55" s="34">
        <v>4268755.5999999996</v>
      </c>
      <c r="G55" s="34">
        <v>4268755.5999999996</v>
      </c>
      <c r="H55" s="34"/>
      <c r="I55" s="34"/>
      <c r="J55" s="34"/>
      <c r="K55" s="34">
        <v>5996834.8979000002</v>
      </c>
      <c r="L55" s="35">
        <f t="shared" si="7"/>
        <v>140.48203879135178</v>
      </c>
      <c r="M55" s="35">
        <f t="shared" si="8"/>
        <v>140.48203879135178</v>
      </c>
    </row>
    <row r="56" spans="1:13" ht="12" x14ac:dyDescent="0.2">
      <c r="A56" s="24"/>
      <c r="B56" s="24"/>
      <c r="C56" s="25" t="s">
        <v>75</v>
      </c>
      <c r="D56" s="26">
        <v>-1143434679</v>
      </c>
      <c r="E56" s="26">
        <v>-1770438343.8</v>
      </c>
      <c r="F56" s="26">
        <v>-1062175089.6</v>
      </c>
      <c r="G56" s="26">
        <v>-1062175089.6</v>
      </c>
      <c r="H56" s="26"/>
      <c r="I56" s="26"/>
      <c r="J56" s="26"/>
      <c r="K56" s="26">
        <v>-833072336.80799997</v>
      </c>
      <c r="L56" s="27"/>
      <c r="M56" s="27"/>
    </row>
    <row r="57" spans="1:13" ht="24" x14ac:dyDescent="0.2">
      <c r="A57" s="24"/>
      <c r="B57" s="24"/>
      <c r="C57" s="25" t="s">
        <v>76</v>
      </c>
      <c r="D57" s="26">
        <v>1143434679</v>
      </c>
      <c r="E57" s="26">
        <v>1770438343.8</v>
      </c>
      <c r="F57" s="26">
        <v>1062175089.6</v>
      </c>
      <c r="G57" s="26">
        <v>1062175089.6</v>
      </c>
      <c r="H57" s="26"/>
      <c r="I57" s="26"/>
      <c r="J57" s="26"/>
      <c r="K57" s="26">
        <v>833072336.80799997</v>
      </c>
      <c r="L57" s="27"/>
      <c r="M57" s="27"/>
    </row>
    <row r="58" spans="1:13" x14ac:dyDescent="0.2">
      <c r="A58" s="28"/>
      <c r="B58" s="28"/>
      <c r="C58" s="29" t="s">
        <v>77</v>
      </c>
      <c r="D58" s="30">
        <v>1195368837</v>
      </c>
      <c r="E58" s="30">
        <v>1350664003.2</v>
      </c>
      <c r="F58" s="30">
        <v>1350164003.2</v>
      </c>
      <c r="G58" s="30">
        <v>1350164003.2</v>
      </c>
      <c r="H58" s="30"/>
      <c r="I58" s="30"/>
      <c r="J58" s="30"/>
      <c r="K58" s="30">
        <v>1347103009.7658999</v>
      </c>
      <c r="L58" s="31">
        <f>IF(G58=0,0,K58/G58*100)</f>
        <v>99.773287287555775</v>
      </c>
      <c r="M58" s="31">
        <f>IF(F58=0,0,K58/F58*100)</f>
        <v>99.773287287555775</v>
      </c>
    </row>
    <row r="59" spans="1:13" x14ac:dyDescent="0.2">
      <c r="A59" s="32" t="s">
        <v>78</v>
      </c>
      <c r="B59" s="32"/>
      <c r="C59" s="33" t="s">
        <v>79</v>
      </c>
      <c r="D59" s="34">
        <v>1195368837</v>
      </c>
      <c r="E59" s="34">
        <v>1350664003.2</v>
      </c>
      <c r="F59" s="34">
        <v>1350164003.2</v>
      </c>
      <c r="G59" s="34">
        <v>1350164003.2</v>
      </c>
      <c r="H59" s="34"/>
      <c r="I59" s="34"/>
      <c r="J59" s="34"/>
      <c r="K59" s="34">
        <v>1347103009.7658999</v>
      </c>
      <c r="L59" s="35">
        <f>IF(G59=0,0,K59/G59*100)</f>
        <v>99.773287287555775</v>
      </c>
      <c r="M59" s="35">
        <f>IF(F59=0,0,K59/F59*100)</f>
        <v>99.773287287555775</v>
      </c>
    </row>
    <row r="60" spans="1:13" x14ac:dyDescent="0.2">
      <c r="A60" s="28"/>
      <c r="B60" s="28"/>
      <c r="C60" s="29" t="s">
        <v>80</v>
      </c>
      <c r="D60" s="30">
        <v>524405671</v>
      </c>
      <c r="E60" s="30">
        <v>529260038</v>
      </c>
      <c r="F60" s="30">
        <v>528760038</v>
      </c>
      <c r="G60" s="30">
        <v>528760038</v>
      </c>
      <c r="H60" s="30">
        <v>528760038</v>
      </c>
      <c r="I60" s="30">
        <v>528756672.78640002</v>
      </c>
      <c r="J60" s="30">
        <f>I60-K60</f>
        <v>0</v>
      </c>
      <c r="K60" s="30">
        <v>528756672.78640002</v>
      </c>
      <c r="L60" s="31">
        <f>IF(G60=0,0,K60/G60*100)</f>
        <v>99.999363565065792</v>
      </c>
      <c r="M60" s="31">
        <f>IF(F60=0,0,K60/F60*100)</f>
        <v>99.999363565065792</v>
      </c>
    </row>
    <row r="61" spans="1:13" x14ac:dyDescent="0.2">
      <c r="A61" s="32" t="s">
        <v>81</v>
      </c>
      <c r="B61" s="32"/>
      <c r="C61" s="33" t="s">
        <v>82</v>
      </c>
      <c r="D61" s="34">
        <v>524405671</v>
      </c>
      <c r="E61" s="34">
        <v>529260038</v>
      </c>
      <c r="F61" s="34">
        <v>528760038</v>
      </c>
      <c r="G61" s="34">
        <v>528760038</v>
      </c>
      <c r="H61" s="34">
        <v>528760038</v>
      </c>
      <c r="I61" s="34">
        <v>528756672.78640002</v>
      </c>
      <c r="J61" s="34">
        <f>I61-K61</f>
        <v>0</v>
      </c>
      <c r="K61" s="34">
        <v>528756672.78640002</v>
      </c>
      <c r="L61" s="35">
        <f>IF(G61=0,0,K61/G61*100)</f>
        <v>99.999363565065792</v>
      </c>
      <c r="M61" s="35">
        <f>IF(F61=0,0,K61/F61*100)</f>
        <v>99.999363565065792</v>
      </c>
    </row>
    <row r="62" spans="1:13" x14ac:dyDescent="0.2">
      <c r="A62" s="28"/>
      <c r="B62" s="28"/>
      <c r="C62" s="29" t="s">
        <v>83</v>
      </c>
      <c r="D62" s="30">
        <v>472471513</v>
      </c>
      <c r="E62" s="30">
        <v>949034378.60000002</v>
      </c>
      <c r="F62" s="30">
        <v>240771124.40000001</v>
      </c>
      <c r="G62" s="30">
        <v>240771124.40000001</v>
      </c>
      <c r="H62" s="30"/>
      <c r="I62" s="30"/>
      <c r="J62" s="30"/>
      <c r="K62" s="30">
        <v>14725999.828</v>
      </c>
      <c r="L62" s="31"/>
      <c r="M62" s="31"/>
    </row>
    <row r="63" spans="1:13" ht="24" x14ac:dyDescent="0.2">
      <c r="A63" s="24"/>
      <c r="B63" s="24"/>
      <c r="C63" s="25" t="s">
        <v>84</v>
      </c>
      <c r="D63" s="26"/>
      <c r="E63" s="26"/>
      <c r="F63" s="26"/>
      <c r="G63" s="26"/>
      <c r="H63" s="26"/>
      <c r="I63" s="26"/>
      <c r="J63" s="26"/>
      <c r="K63" s="26"/>
      <c r="L63" s="27"/>
      <c r="M63" s="27"/>
    </row>
    <row r="64" spans="1:13" x14ac:dyDescent="0.2">
      <c r="A64" s="28"/>
      <c r="B64" s="28"/>
      <c r="C64" s="29" t="s">
        <v>85</v>
      </c>
      <c r="D64" s="30"/>
      <c r="E64" s="30"/>
      <c r="F64" s="30"/>
      <c r="G64" s="30"/>
      <c r="H64" s="30"/>
      <c r="I64" s="30"/>
      <c r="J64" s="30"/>
      <c r="K64" s="30">
        <v>248971869.7225</v>
      </c>
      <c r="L64" s="31"/>
      <c r="M64" s="31"/>
    </row>
    <row r="65" spans="1:13" x14ac:dyDescent="0.2">
      <c r="A65" s="28"/>
      <c r="B65" s="28"/>
      <c r="C65" s="29" t="s">
        <v>86</v>
      </c>
      <c r="D65" s="30"/>
      <c r="E65" s="30"/>
      <c r="F65" s="30"/>
      <c r="G65" s="30"/>
      <c r="H65" s="30"/>
      <c r="I65" s="30"/>
      <c r="J65" s="30"/>
      <c r="K65" s="30">
        <v>234245869.89399999</v>
      </c>
      <c r="L65" s="31"/>
      <c r="M65" s="31"/>
    </row>
    <row r="69" spans="1:13" ht="12" x14ac:dyDescent="0.2">
      <c r="A69" s="36"/>
      <c r="B69" s="37"/>
      <c r="C69" s="38"/>
      <c r="D69" s="38"/>
      <c r="E69" s="38"/>
      <c r="F69" s="38"/>
      <c r="G69" s="38"/>
      <c r="H69" s="38"/>
      <c r="I69" s="38"/>
      <c r="J69" s="38"/>
    </row>
  </sheetData>
  <mergeCells count="12">
    <mergeCell ref="G7:H7"/>
    <mergeCell ref="A9:B9"/>
    <mergeCell ref="A7:B8"/>
    <mergeCell ref="F7:F8"/>
    <mergeCell ref="C7:C8"/>
    <mergeCell ref="D7:D8"/>
    <mergeCell ref="E7:E8"/>
    <mergeCell ref="I7:I8"/>
    <mergeCell ref="J7:J8"/>
    <mergeCell ref="K7:K8"/>
    <mergeCell ref="M7:M8"/>
    <mergeCell ref="L7:L8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5" fitToHeight="0" orientation="landscape" useFirstPageNumber="1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Пользователь</cp:lastModifiedBy>
  <cp:lastPrinted>2019-05-30T09:38:32Z</cp:lastPrinted>
  <dcterms:created xsi:type="dcterms:W3CDTF">2003-05-20T10:03:43Z</dcterms:created>
  <dcterms:modified xsi:type="dcterms:W3CDTF">2020-08-04T08:50:42Z</dcterms:modified>
</cp:coreProperties>
</file>