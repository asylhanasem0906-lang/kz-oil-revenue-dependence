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24519" fullCalcOnLoad="1"/>
</workbook>
</file>

<file path=xl/calcChain.xml><?xml version="1.0" encoding="utf-8"?>
<calcChain xmlns="http://schemas.openxmlformats.org/spreadsheetml/2006/main">
  <c r="M10" i="1"/>
  <c r="N10"/>
  <c r="M11"/>
  <c r="N11"/>
  <c r="M12"/>
  <c r="N12"/>
  <c r="M13"/>
  <c r="N13"/>
  <c r="M14"/>
  <c r="N14"/>
  <c r="M15"/>
  <c r="N15"/>
  <c r="M16"/>
  <c r="N16"/>
  <c r="M17"/>
  <c r="N17"/>
  <c r="M18"/>
  <c r="N18"/>
  <c r="K19"/>
  <c r="M19"/>
  <c r="N19"/>
  <c r="K20"/>
  <c r="M20"/>
  <c r="N20"/>
  <c r="K21"/>
  <c r="M21"/>
  <c r="N21"/>
  <c r="K22"/>
  <c r="M22"/>
  <c r="N22"/>
  <c r="K23"/>
  <c r="M23"/>
  <c r="N23"/>
  <c r="K24"/>
  <c r="M24"/>
  <c r="N24"/>
  <c r="K25"/>
  <c r="M25"/>
  <c r="N25"/>
  <c r="K26"/>
  <c r="M26"/>
  <c r="N26"/>
  <c r="K27"/>
  <c r="M27"/>
  <c r="N27"/>
  <c r="K28"/>
  <c r="M28"/>
  <c r="N28"/>
  <c r="K29"/>
  <c r="M29"/>
  <c r="N29"/>
  <c r="K30"/>
  <c r="M30"/>
  <c r="N30"/>
  <c r="K31"/>
  <c r="M31"/>
  <c r="N31"/>
  <c r="K32"/>
  <c r="M32"/>
  <c r="N32"/>
  <c r="K33"/>
  <c r="M33"/>
  <c r="N33"/>
  <c r="K34"/>
  <c r="M34"/>
  <c r="N34"/>
  <c r="K36"/>
  <c r="M36"/>
  <c r="N36"/>
  <c r="K37"/>
  <c r="M37"/>
  <c r="N37"/>
  <c r="K38"/>
  <c r="M38"/>
  <c r="N38"/>
  <c r="K39"/>
  <c r="M39"/>
  <c r="N39"/>
  <c r="K40"/>
  <c r="M40"/>
  <c r="N40"/>
  <c r="K41"/>
  <c r="M41"/>
  <c r="N41"/>
  <c r="K42"/>
  <c r="M42"/>
  <c r="N42"/>
  <c r="M43"/>
  <c r="N43"/>
  <c r="M44"/>
  <c r="N44"/>
  <c r="K46"/>
  <c r="M46"/>
  <c r="N46"/>
  <c r="K47"/>
  <c r="M47"/>
  <c r="N47"/>
  <c r="K48"/>
  <c r="M48"/>
  <c r="N48"/>
  <c r="K49"/>
  <c r="M49"/>
  <c r="N49"/>
  <c r="M50"/>
  <c r="N50"/>
  <c r="K51"/>
  <c r="M51"/>
  <c r="N51"/>
  <c r="K52"/>
  <c r="M52"/>
  <c r="N52"/>
  <c r="K53"/>
  <c r="M53"/>
  <c r="N53"/>
  <c r="K54"/>
  <c r="M54"/>
  <c r="N54"/>
  <c r="K55"/>
  <c r="M55"/>
  <c r="N55"/>
  <c r="M56"/>
  <c r="N56"/>
  <c r="M57"/>
  <c r="N57"/>
  <c r="M60"/>
  <c r="N60"/>
  <c r="M61"/>
  <c r="N61"/>
  <c r="K62"/>
  <c r="M62"/>
  <c r="N62"/>
  <c r="K63"/>
  <c r="M63"/>
  <c r="N63"/>
</calcChain>
</file>

<file path=xl/sharedStrings.xml><?xml version="1.0" encoding="utf-8"?>
<sst xmlns="http://schemas.openxmlformats.org/spreadsheetml/2006/main" count="117" uniqueCount="87">
  <si>
    <t>Отчет об исполнении государственного бюджета</t>
  </si>
  <si>
    <t xml:space="preserve">за   2017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</si>
  <si>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</si>
  <si>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</si>
  <si>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</si>
  <si>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</si>
  <si>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</si>
  <si>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</si>
  <si>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</si>
  <si>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</si>
  <si>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</si>
  <si>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Скорректированный бюджет на отчетный финансовый год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</si>
  <si>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</si>
  <si>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</si>
  <si>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</si>
  <si>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</si>
  <si>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</si>
  <si>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</si>
  <si>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</si>
  <si>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</si>
  <si>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</si>
  <si>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</si>
  <si>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</si>
  <si>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</si>
  <si>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</si>
  <si>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</si>
  <si>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</si>
  <si>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</si>
  <si>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</si>
  <si>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</si>
  <si>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</si>
  <si>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</si>
  <si>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</si>
  <si>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</si>
  <si>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</si>
  <si>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</si>
  <si>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</si>
  <si>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</si>
  <si>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</si>
  <si>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</si>
  <si>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</si>
  <si>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</si>
  <si>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</si>
  <si>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</si>
  <si>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</si>
  <si>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</si>
  <si>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</si>
  <si>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</si>
  <si>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</si>
  <si>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</si>
  <si>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</si>
  <si>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</si>
  <si>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</si>
  <si>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</si>
  <si>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</si>
  <si>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</si>
  <si>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</si>
  <si>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</si>
  <si>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</si>
  <si>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</si>
  <si>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</si>
  <si>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</si>
  <si>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</si>
  <si>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15</t>
  </si>
  <si>
    <t>Трансферты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</si>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</sst>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>
  <numFmts count="1">
    <numFmt numFmtId="172" formatCode="#,##0.0"/>
  </numFmts>
  <fonts count="12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0" borderId="0" xfId="0" applyNumberFormat="1" applyFont="1" applyAlignment="1">
      <alignment horizontal="centerContinuous" wrapText="1"/>
    </xf>
    <xf numFmtId="49" fontId="2" fillId="0" borderId="0" xfId="0" applyNumberFormat="1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/>
    <xf numFmtId="0" fontId="6" fillId="0" borderId="0" xfId="0" applyFont="1" applyAlignment="1">
      <alignment horizontal="centerContinuous" wrapText="1"/>
    </xf>
    <xf numFmtId="0" fontId="2" fillId="0" borderId="0" xfId="0" applyFont="1" applyAlignment="1"/>
    <xf numFmtId="0" fontId="1" fillId="0" borderId="0" xfId="0" applyFont="1" applyAlignment="1"/>
    <xf numFmtId="49" fontId="7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49" fontId="3" fillId="0" borderId="0" xfId="0" applyNumberFormat="1" applyFont="1"/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72" fontId="10" fillId="0" borderId="0" xfId="0" applyNumberFormat="1" applyFont="1" applyAlignment="1">
      <alignment vertical="center"/>
    </xf>
    <xf numFmtId="172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72" fontId="11" fillId="0" borderId="0" xfId="0" applyNumberFormat="1" applyFont="1" applyAlignment="1">
      <alignment vertical="center"/>
    </xf>
    <xf numFmtId="172" fontId="1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N71"/>
  <sheetViews>
    <sheetView tabSelected="1" workbookViewId="0">
      <selection activeCell="E3" sqref="E3"/>
    </sheetView>
  </sheetViews>
  <sheetFormatPr defaultRowHeight="11.25"/>
  <cols>
    <col min="1" max="3" width="4" style="27" customWidth="1"/>
    <col min="4" max="4" width="52" style="3" customWidth="1"/>
    <col min="5" max="5" width="15.28515625" style="3" customWidth="1"/>
    <col min="6" max="6" width="15" style="3" customWidth="1"/>
    <col min="7" max="7" width="14.85546875" style="3" customWidth="1"/>
    <col min="8" max="8" width="15" style="3" customWidth="1"/>
    <col min="9" max="9" width="15.5703125" style="3" customWidth="1"/>
    <col min="10" max="10" width="14.5703125" style="3" customWidth="1"/>
    <col min="11" max="11" width="12" style="3" customWidth="1"/>
    <col min="12" max="12" width="15" style="3" customWidth="1"/>
    <col min="13" max="13" width="12.85546875" style="3" customWidth="1"/>
    <col min="14" max="14" width="11.28515625" style="3" customWidth="1"/>
    <col min="15" max="16384" width="9.140625" style="3"/>
  </cols>
  <sheetData>
    <row r="1" spans="1:14" s="5" customFormat="1" ht="15.75">
      <c r="A1" s="1"/>
      <c r="B1" s="2"/>
      <c r="C1" s="2"/>
      <c r="D1" s="3"/>
      <c r="E1" s="4"/>
      <c r="F1" s="28"/>
      <c r="G1" s="29"/>
      <c r="H1" s="6" t="s">
        <v>0</v>
      </c>
      <c r="I1" s="15"/>
      <c r="J1" s="29"/>
      <c r="L1" s="8"/>
    </row>
    <row r="2" spans="1:14" s="5" customFormat="1" ht="15.75">
      <c r="A2" s="9"/>
      <c r="B2" s="2"/>
      <c r="C2" s="2"/>
      <c r="D2" s="6"/>
      <c r="E2" s="7"/>
      <c r="F2" s="6"/>
      <c r="G2" s="10"/>
      <c r="H2" s="6" t="s">
        <v>1</v>
      </c>
      <c r="I2" s="15"/>
      <c r="J2" s="12"/>
      <c r="K2" s="11"/>
      <c r="L2" s="12"/>
    </row>
    <row r="3" spans="1:14" s="5" customFormat="1" ht="15.75">
      <c r="A3" s="13"/>
      <c r="B3" s="2"/>
      <c r="C3" s="2"/>
      <c r="D3" s="7"/>
      <c r="E3" s="7"/>
      <c r="F3" s="14"/>
      <c r="G3" s="7"/>
      <c r="H3" s="7"/>
      <c r="I3" s="7"/>
      <c r="J3" s="7"/>
      <c r="K3" s="7"/>
      <c r="L3" s="15"/>
      <c r="M3" s="7"/>
      <c r="N3" s="7"/>
    </row>
    <row r="4" spans="1:14" s="5" customFormat="1" ht="15.75">
      <c r="A4" s="13" t="s">
        <v>2</v>
      </c>
      <c r="B4" s="2"/>
      <c r="C4" s="2"/>
      <c r="D4" s="7"/>
      <c r="E4" s="7"/>
      <c r="F4" s="14"/>
      <c r="G4" s="7"/>
      <c r="H4" s="7"/>
      <c r="I4" s="7"/>
      <c r="J4" s="7"/>
      <c r="K4" s="7"/>
      <c r="L4" s="15"/>
      <c r="M4" s="7"/>
      <c r="N4" s="7"/>
    </row>
    <row r="5" spans="1:14" s="18" customFormat="1">
      <c r="A5" s="16" t="s">
        <v>3</v>
      </c>
      <c r="B5" s="16"/>
      <c r="C5" s="16"/>
      <c r="D5" s="17" t="s">
        <v>4</v>
      </c>
      <c r="L5" s="19"/>
    </row>
    <row r="6" spans="1:14">
      <c r="A6" s="16" t="s">
        <v>5</v>
      </c>
      <c r="B6" s="16"/>
      <c r="C6" s="16"/>
      <c r="D6" s="17" t="s">
        <v>6</v>
      </c>
      <c r="E6" s="18"/>
      <c r="F6" s="18"/>
    </row>
    <row r="7" spans="1:14" s="36" customFormat="1" ht="51.75" customHeight="1">
      <c r="A7" s="30" t="s">
        <v>7</v>
      </c>
      <c r="B7" s="31"/>
      <c r="C7" s="31"/>
      <c r="D7" s="32" t="s">
        <v>8</v>
      </c>
      <c r="E7" s="32" t="s">
        <v>9</v>
      </c>
      <c r="F7" s="32" t="s">
        <v>10</v>
      </c>
      <c r="G7" s="32" t="s">
        <v>11</v>
      </c>
      <c r="H7" s="33" t="s">
        <v>12</v>
      </c>
      <c r="I7" s="34"/>
      <c r="J7" s="32" t="s">
        <v>13</v>
      </c>
      <c r="K7" s="32" t="s">
        <v>14</v>
      </c>
      <c r="L7" s="32" t="s">
        <v>15</v>
      </c>
      <c r="M7" s="32" t="s">
        <v>16</v>
      </c>
      <c r="N7" s="35" t="s">
        <v>17</v>
      </c>
    </row>
    <row r="8" spans="1:14" s="36" customFormat="1" ht="76.5" customHeight="1">
      <c r="A8" s="37"/>
      <c r="B8" s="38"/>
      <c r="C8" s="38"/>
      <c r="D8" s="39"/>
      <c r="E8" s="39"/>
      <c r="F8" s="39"/>
      <c r="G8" s="39"/>
      <c r="H8" s="40" t="s">
        <v>18</v>
      </c>
      <c r="I8" s="40" t="s">
        <v>19</v>
      </c>
      <c r="J8" s="39"/>
      <c r="K8" s="39"/>
      <c r="L8" s="39"/>
      <c r="M8" s="39"/>
      <c r="N8" s="35"/>
    </row>
    <row r="9" spans="1:14" ht="11.25" customHeight="1">
      <c r="A9" s="20" t="s">
        <v>20</v>
      </c>
      <c r="B9" s="21"/>
      <c r="C9" s="21"/>
      <c r="D9" s="22">
        <v>2</v>
      </c>
      <c r="E9" s="23">
        <v>3</v>
      </c>
      <c r="F9" s="23">
        <v>4</v>
      </c>
      <c r="G9" s="23">
        <v>5</v>
      </c>
      <c r="H9" s="23">
        <v>6</v>
      </c>
      <c r="I9" s="23">
        <v>7</v>
      </c>
      <c r="J9" s="23">
        <v>8</v>
      </c>
      <c r="K9" s="23">
        <v>9</v>
      </c>
      <c r="L9" s="23">
        <v>10</v>
      </c>
      <c r="M9" s="23">
        <v>11</v>
      </c>
      <c r="N9" s="23">
        <v>12</v>
      </c>
    </row>
    <row r="10" spans="1:14" s="4" customFormat="1" ht="12.75">
      <c r="A10" s="41"/>
      <c r="B10" s="41"/>
      <c r="C10" s="41"/>
      <c r="D10" s="42" t="s">
        <v>21</v>
      </c>
      <c r="E10" s="43">
        <v>9522590472.7000008</v>
      </c>
      <c r="F10" s="43">
        <v>11413652553.200001</v>
      </c>
      <c r="G10" s="43">
        <v>11413410484.799999</v>
      </c>
      <c r="H10" s="43">
        <v>11413410484.799999</v>
      </c>
      <c r="I10" s="43"/>
      <c r="J10" s="43"/>
      <c r="K10" s="43"/>
      <c r="L10" s="43">
        <v>11567691455.080099</v>
      </c>
      <c r="M10" s="44">
        <f>IF(H10=0,0,L10/H10*100)</f>
        <v>101.35175170020885</v>
      </c>
      <c r="N10" s="44">
        <f>IF(G10=0,0,L10/G10*100)</f>
        <v>101.35175170020885</v>
      </c>
    </row>
    <row r="11" spans="1:14" s="4" customFormat="1" ht="12.75">
      <c r="A11" s="41"/>
      <c r="B11" s="41"/>
      <c r="C11" s="41"/>
      <c r="D11" s="42" t="s">
        <v>22</v>
      </c>
      <c r="E11" s="43">
        <v>6035586524.3000002</v>
      </c>
      <c r="F11" s="43">
        <v>6716140536.8000002</v>
      </c>
      <c r="G11" s="43">
        <v>6715911272.1999998</v>
      </c>
      <c r="H11" s="43">
        <v>6715911272.1999998</v>
      </c>
      <c r="I11" s="43"/>
      <c r="J11" s="43"/>
      <c r="K11" s="43"/>
      <c r="L11" s="43">
        <v>6810851289.5419998</v>
      </c>
      <c r="M11" s="44">
        <f>IF(H11=0,0,L11/H11*100)</f>
        <v>101.41365800550399</v>
      </c>
      <c r="N11" s="44">
        <f>IF(G11=0,0,L11/G11*100)</f>
        <v>101.41365800550399</v>
      </c>
    </row>
    <row r="12" spans="1:14" s="4" customFormat="1" ht="12.75">
      <c r="A12" s="45" t="s">
        <v>23</v>
      </c>
      <c r="B12" s="45"/>
      <c r="C12" s="45"/>
      <c r="D12" s="46" t="s">
        <v>24</v>
      </c>
      <c r="E12" s="47">
        <v>6035586524.3000002</v>
      </c>
      <c r="F12" s="47">
        <v>6716140536.8000002</v>
      </c>
      <c r="G12" s="47">
        <v>6715911272.1999998</v>
      </c>
      <c r="H12" s="47">
        <v>6715911272.1999998</v>
      </c>
      <c r="I12" s="47"/>
      <c r="J12" s="47"/>
      <c r="K12" s="47"/>
      <c r="L12" s="47">
        <v>6810851289.5422001</v>
      </c>
      <c r="M12" s="48">
        <f>IF(H12=0,0,L12/H12*100)</f>
        <v>101.41365800550697</v>
      </c>
      <c r="N12" s="48">
        <f>IF(G12=0,0,L12/G12*100)</f>
        <v>101.41365800550697</v>
      </c>
    </row>
    <row r="13" spans="1:14" s="4" customFormat="1" ht="12.75">
      <c r="A13" s="41"/>
      <c r="B13" s="41"/>
      <c r="C13" s="41"/>
      <c r="D13" s="42" t="s">
        <v>25</v>
      </c>
      <c r="E13" s="43">
        <v>136405108.80000001</v>
      </c>
      <c r="F13" s="43">
        <v>230320631.80000001</v>
      </c>
      <c r="G13" s="43">
        <v>230307828</v>
      </c>
      <c r="H13" s="43">
        <v>230307828</v>
      </c>
      <c r="I13" s="43"/>
      <c r="J13" s="43"/>
      <c r="K13" s="43"/>
      <c r="L13" s="43">
        <v>273872343.76959997</v>
      </c>
      <c r="M13" s="44">
        <f>IF(H13=0,0,L13/H13*100)</f>
        <v>118.91577726554739</v>
      </c>
      <c r="N13" s="44">
        <f>IF(G13=0,0,L13/G13*100)</f>
        <v>118.91577726554739</v>
      </c>
    </row>
    <row r="14" spans="1:14" s="4" customFormat="1" ht="12.75">
      <c r="A14" s="45" t="s">
        <v>26</v>
      </c>
      <c r="B14" s="45"/>
      <c r="C14" s="45"/>
      <c r="D14" s="46" t="s">
        <v>27</v>
      </c>
      <c r="E14" s="47">
        <v>136405108.80000001</v>
      </c>
      <c r="F14" s="47">
        <v>230320631.80000001</v>
      </c>
      <c r="G14" s="47">
        <v>230307828</v>
      </c>
      <c r="H14" s="47">
        <v>230307828</v>
      </c>
      <c r="I14" s="47"/>
      <c r="J14" s="47"/>
      <c r="K14" s="47"/>
      <c r="L14" s="47">
        <v>273872343.76959997</v>
      </c>
      <c r="M14" s="48">
        <f>IF(H14=0,0,L14/H14*100)</f>
        <v>118.91577726554739</v>
      </c>
      <c r="N14" s="48">
        <f>IF(G14=0,0,L14/G14*100)</f>
        <v>118.91577726554739</v>
      </c>
    </row>
    <row r="15" spans="1:14" s="4" customFormat="1" ht="25.5">
      <c r="A15" s="41"/>
      <c r="B15" s="41"/>
      <c r="C15" s="41"/>
      <c r="D15" s="42" t="s">
        <v>28</v>
      </c>
      <c r="E15" s="43">
        <v>28974893.600000001</v>
      </c>
      <c r="F15" s="43">
        <v>52626150.600000001</v>
      </c>
      <c r="G15" s="43">
        <v>52626150.600000001</v>
      </c>
      <c r="H15" s="43">
        <v>52626150.600000001</v>
      </c>
      <c r="I15" s="43"/>
      <c r="J15" s="43"/>
      <c r="K15" s="43"/>
      <c r="L15" s="43">
        <v>68650409.168400005</v>
      </c>
      <c r="M15" s="44">
        <f>IF(H15=0,0,L15/H15*100)</f>
        <v>130.44923177109595</v>
      </c>
      <c r="N15" s="44">
        <f>IF(G15=0,0,L15/G15*100)</f>
        <v>130.44923177109595</v>
      </c>
    </row>
    <row r="16" spans="1:14" s="4" customFormat="1" ht="12.75">
      <c r="A16" s="45" t="s">
        <v>29</v>
      </c>
      <c r="B16" s="45"/>
      <c r="C16" s="45"/>
      <c r="D16" s="46" t="s">
        <v>30</v>
      </c>
      <c r="E16" s="47">
        <v>28974893.600000001</v>
      </c>
      <c r="F16" s="47">
        <v>52626150.600000001</v>
      </c>
      <c r="G16" s="47">
        <v>52626150.600000001</v>
      </c>
      <c r="H16" s="47">
        <v>52626150.600000001</v>
      </c>
      <c r="I16" s="47"/>
      <c r="J16" s="47"/>
      <c r="K16" s="47"/>
      <c r="L16" s="47">
        <v>68650409.168300003</v>
      </c>
      <c r="M16" s="48">
        <f>IF(H16=0,0,L16/H16*100)</f>
        <v>130.44923177090593</v>
      </c>
      <c r="N16" s="48">
        <f>IF(G16=0,0,L16/G16*100)</f>
        <v>130.44923177090593</v>
      </c>
    </row>
    <row r="17" spans="1:14" s="4" customFormat="1" ht="12.75">
      <c r="A17" s="41"/>
      <c r="B17" s="41"/>
      <c r="C17" s="41"/>
      <c r="D17" s="42" t="s">
        <v>31</v>
      </c>
      <c r="E17" s="43">
        <v>3321623946</v>
      </c>
      <c r="F17" s="43">
        <v>4414565234</v>
      </c>
      <c r="G17" s="43">
        <v>4414565234</v>
      </c>
      <c r="H17" s="43">
        <v>4414565234</v>
      </c>
      <c r="I17" s="43"/>
      <c r="J17" s="43"/>
      <c r="K17" s="43"/>
      <c r="L17" s="43">
        <v>4414317412.6000004</v>
      </c>
      <c r="M17" s="44">
        <f>IF(H17=0,0,L17/H17*100)</f>
        <v>99.994386278447294</v>
      </c>
      <c r="N17" s="44">
        <f>IF(G17=0,0,L17/G17*100)</f>
        <v>99.994386278447294</v>
      </c>
    </row>
    <row r="18" spans="1:14" s="4" customFormat="1" ht="12.75">
      <c r="A18" s="45" t="s">
        <v>32</v>
      </c>
      <c r="B18" s="45"/>
      <c r="C18" s="45"/>
      <c r="D18" s="46" t="s">
        <v>33</v>
      </c>
      <c r="E18" s="47">
        <v>3321623946</v>
      </c>
      <c r="F18" s="47">
        <v>4414565234</v>
      </c>
      <c r="G18" s="47">
        <v>4414565234</v>
      </c>
      <c r="H18" s="47">
        <v>4414565234</v>
      </c>
      <c r="I18" s="47"/>
      <c r="J18" s="47"/>
      <c r="K18" s="47"/>
      <c r="L18" s="47">
        <v>4414317412.6000004</v>
      </c>
      <c r="M18" s="48">
        <f>IF(H18=0,0,L18/H18*100)</f>
        <v>99.994386278447294</v>
      </c>
      <c r="N18" s="48">
        <f>IF(G18=0,0,L18/G18*100)</f>
        <v>99.994386278447294</v>
      </c>
    </row>
    <row r="19" spans="1:14" s="4" customFormat="1" ht="12.75">
      <c r="A19" s="41"/>
      <c r="B19" s="41"/>
      <c r="C19" s="41"/>
      <c r="D19" s="42" t="s">
        <v>34</v>
      </c>
      <c r="E19" s="43">
        <v>10405242259.5</v>
      </c>
      <c r="F19" s="43">
        <v>13453377597.1</v>
      </c>
      <c r="G19" s="43">
        <v>12526606894</v>
      </c>
      <c r="H19" s="43">
        <v>12526606894</v>
      </c>
      <c r="I19" s="43">
        <v>12526606894</v>
      </c>
      <c r="J19" s="43">
        <v>12502977050.860001</v>
      </c>
      <c r="K19" s="43">
        <f>J19-L19</f>
        <v>17598950.835300446</v>
      </c>
      <c r="L19" s="43">
        <v>12485378100.0247</v>
      </c>
      <c r="M19" s="44">
        <f>IF(H19=0,0,L19/H19*100)</f>
        <v>99.670870217895583</v>
      </c>
      <c r="N19" s="44">
        <f>IF(G19=0,0,L19/G19*100)</f>
        <v>99.670870217895583</v>
      </c>
    </row>
    <row r="20" spans="1:14" s="4" customFormat="1" ht="12.75">
      <c r="A20" s="45" t="s">
        <v>35</v>
      </c>
      <c r="B20" s="45"/>
      <c r="C20" s="45"/>
      <c r="D20" s="46" t="s">
        <v>36</v>
      </c>
      <c r="E20" s="47">
        <v>580233403.39999998</v>
      </c>
      <c r="F20" s="47">
        <v>617175927.29999995</v>
      </c>
      <c r="G20" s="47">
        <v>655248582.20000005</v>
      </c>
      <c r="H20" s="47">
        <v>655248582.20000005</v>
      </c>
      <c r="I20" s="47">
        <v>655248582.20000005</v>
      </c>
      <c r="J20" s="47">
        <v>653410050.39750004</v>
      </c>
      <c r="K20" s="47">
        <f>J20-L20</f>
        <v>1155896.1497000456</v>
      </c>
      <c r="L20" s="47">
        <v>652254154.24779999</v>
      </c>
      <c r="M20" s="48">
        <f>IF(H20=0,0,L20/H20*100)</f>
        <v>99.543008862049547</v>
      </c>
      <c r="N20" s="48">
        <f>IF(G20=0,0,L20/G20*100)</f>
        <v>99.543008862049547</v>
      </c>
    </row>
    <row r="21" spans="1:14" s="4" customFormat="1" ht="12.75">
      <c r="A21" s="45" t="s">
        <v>37</v>
      </c>
      <c r="B21" s="45"/>
      <c r="C21" s="45"/>
      <c r="D21" s="46" t="s">
        <v>38</v>
      </c>
      <c r="E21" s="47">
        <v>436006195.19999999</v>
      </c>
      <c r="F21" s="47">
        <v>454906276.10000002</v>
      </c>
      <c r="G21" s="47">
        <v>452750684.89999998</v>
      </c>
      <c r="H21" s="47">
        <v>452750684.89999998</v>
      </c>
      <c r="I21" s="47">
        <v>452750684.89999998</v>
      </c>
      <c r="J21" s="47">
        <v>452679618.2651</v>
      </c>
      <c r="K21" s="47">
        <f>J21-L21</f>
        <v>304404.46020001173</v>
      </c>
      <c r="L21" s="47">
        <v>452375213.80489999</v>
      </c>
      <c r="M21" s="48">
        <f>IF(H21=0,0,L21/H21*100)</f>
        <v>99.917068906216471</v>
      </c>
      <c r="N21" s="48">
        <f>IF(G21=0,0,L21/G21*100)</f>
        <v>99.917068906216471</v>
      </c>
    </row>
    <row r="22" spans="1:14" s="4" customFormat="1" ht="25.5">
      <c r="A22" s="45" t="s">
        <v>39</v>
      </c>
      <c r="B22" s="45"/>
      <c r="C22" s="45"/>
      <c r="D22" s="46" t="s">
        <v>40</v>
      </c>
      <c r="E22" s="47">
        <v>632719728.39999998</v>
      </c>
      <c r="F22" s="47">
        <v>721941587.5</v>
      </c>
      <c r="G22" s="47">
        <v>712237123.39999998</v>
      </c>
      <c r="H22" s="47">
        <v>712237123.39999998</v>
      </c>
      <c r="I22" s="47">
        <v>712237123.39999998</v>
      </c>
      <c r="J22" s="47">
        <v>710488814.71179998</v>
      </c>
      <c r="K22" s="47">
        <f>J22-L22</f>
        <v>777230.35029995441</v>
      </c>
      <c r="L22" s="47">
        <v>709711584.36150002</v>
      </c>
      <c r="M22" s="48">
        <f>IF(H22=0,0,L22/H22*100)</f>
        <v>99.645407553815247</v>
      </c>
      <c r="N22" s="48">
        <f>IF(G22=0,0,L22/G22*100)</f>
        <v>99.645407553815247</v>
      </c>
    </row>
    <row r="23" spans="1:14" s="4" customFormat="1" ht="12.75">
      <c r="A23" s="45" t="s">
        <v>41</v>
      </c>
      <c r="B23" s="45"/>
      <c r="C23" s="45"/>
      <c r="D23" s="46" t="s">
        <v>42</v>
      </c>
      <c r="E23" s="47">
        <v>1859999345.0999999</v>
      </c>
      <c r="F23" s="47">
        <v>1940675969.5</v>
      </c>
      <c r="G23" s="47">
        <v>1849637161.7</v>
      </c>
      <c r="H23" s="47">
        <v>1849637161.7</v>
      </c>
      <c r="I23" s="47">
        <v>1849637161.7</v>
      </c>
      <c r="J23" s="47">
        <v>1844581834.7151999</v>
      </c>
      <c r="K23" s="47">
        <f>J23-L23</f>
        <v>1339297.97239995</v>
      </c>
      <c r="L23" s="47">
        <v>1843242536.7428</v>
      </c>
      <c r="M23" s="48">
        <f>IF(H23=0,0,L23/H23*100)</f>
        <v>99.654276790626184</v>
      </c>
      <c r="N23" s="48">
        <f>IF(G23=0,0,L23/G23*100)</f>
        <v>99.654276790626184</v>
      </c>
    </row>
    <row r="24" spans="1:14" s="4" customFormat="1" ht="12.75">
      <c r="A24" s="45" t="s">
        <v>43</v>
      </c>
      <c r="B24" s="45"/>
      <c r="C24" s="45"/>
      <c r="D24" s="46" t="s">
        <v>44</v>
      </c>
      <c r="E24" s="47">
        <v>1364888620</v>
      </c>
      <c r="F24" s="47">
        <v>1433143236.8</v>
      </c>
      <c r="G24" s="47">
        <v>1134406853.5</v>
      </c>
      <c r="H24" s="47">
        <v>1134406853.5</v>
      </c>
      <c r="I24" s="47">
        <v>1134406853.5</v>
      </c>
      <c r="J24" s="47">
        <v>1131400278.7158</v>
      </c>
      <c r="K24" s="47">
        <f>J24-L24</f>
        <v>3084213.4746999741</v>
      </c>
      <c r="L24" s="47">
        <v>1128316065.2411001</v>
      </c>
      <c r="M24" s="48">
        <f>IF(H24=0,0,L24/H24*100)</f>
        <v>99.463086084140983</v>
      </c>
      <c r="N24" s="48">
        <f>IF(G24=0,0,L24/G24*100)</f>
        <v>99.463086084140983</v>
      </c>
    </row>
    <row r="25" spans="1:14" s="4" customFormat="1" ht="12.75">
      <c r="A25" s="45" t="s">
        <v>45</v>
      </c>
      <c r="B25" s="45"/>
      <c r="C25" s="45"/>
      <c r="D25" s="46" t="s">
        <v>46</v>
      </c>
      <c r="E25" s="47">
        <v>2227502697</v>
      </c>
      <c r="F25" s="47">
        <v>2325869017.5999999</v>
      </c>
      <c r="G25" s="47">
        <v>2303568735.5</v>
      </c>
      <c r="H25" s="47">
        <v>2303568735.5</v>
      </c>
      <c r="I25" s="47">
        <v>2303568735.5</v>
      </c>
      <c r="J25" s="47">
        <v>2302526812.6396999</v>
      </c>
      <c r="K25" s="47">
        <f>J25-L25</f>
        <v>196358.75850009918</v>
      </c>
      <c r="L25" s="47">
        <v>2302330453.8811998</v>
      </c>
      <c r="M25" s="48">
        <f>IF(H25=0,0,L25/H25*100)</f>
        <v>99.946245076184738</v>
      </c>
      <c r="N25" s="48">
        <f>IF(G25=0,0,L25/G25*100)</f>
        <v>99.946245076184738</v>
      </c>
    </row>
    <row r="26" spans="1:14" s="4" customFormat="1" ht="12.75">
      <c r="A26" s="45" t="s">
        <v>47</v>
      </c>
      <c r="B26" s="45"/>
      <c r="C26" s="45"/>
      <c r="D26" s="46" t="s">
        <v>48</v>
      </c>
      <c r="E26" s="47">
        <v>650613988.60000002</v>
      </c>
      <c r="F26" s="47">
        <v>861667513.60000002</v>
      </c>
      <c r="G26" s="47">
        <v>695110769.19000006</v>
      </c>
      <c r="H26" s="47">
        <v>695110769.19000006</v>
      </c>
      <c r="I26" s="47">
        <v>695110769.19000006</v>
      </c>
      <c r="J26" s="47">
        <v>693921718.90219998</v>
      </c>
      <c r="K26" s="47">
        <f>J26-L26</f>
        <v>5548186.342599988</v>
      </c>
      <c r="L26" s="47">
        <v>688373532.5596</v>
      </c>
      <c r="M26" s="48">
        <f>IF(H26=0,0,L26/H26*100)</f>
        <v>99.030767910810695</v>
      </c>
      <c r="N26" s="48">
        <f>IF(G26=0,0,L26/G26*100)</f>
        <v>99.030767910810695</v>
      </c>
    </row>
    <row r="27" spans="1:14" s="4" customFormat="1" ht="12.75">
      <c r="A27" s="45" t="s">
        <v>49</v>
      </c>
      <c r="B27" s="45"/>
      <c r="C27" s="45"/>
      <c r="D27" s="46" t="s">
        <v>50</v>
      </c>
      <c r="E27" s="47">
        <v>334861237</v>
      </c>
      <c r="F27" s="47">
        <v>404463521.10000002</v>
      </c>
      <c r="G27" s="47">
        <v>399554251.19999999</v>
      </c>
      <c r="H27" s="47">
        <v>399554251.19999999</v>
      </c>
      <c r="I27" s="47">
        <v>399554251.19999999</v>
      </c>
      <c r="J27" s="47">
        <v>399232827.21249998</v>
      </c>
      <c r="K27" s="47">
        <f>J27-L27</f>
        <v>692475.0148999691</v>
      </c>
      <c r="L27" s="47">
        <v>398540352.19760001</v>
      </c>
      <c r="M27" s="48">
        <f>IF(H27=0,0,L27/H27*100)</f>
        <v>99.746242469112801</v>
      </c>
      <c r="N27" s="48">
        <f>IF(G27=0,0,L27/G27*100)</f>
        <v>99.746242469112801</v>
      </c>
    </row>
    <row r="28" spans="1:14" s="4" customFormat="1" ht="12.75">
      <c r="A28" s="45" t="s">
        <v>51</v>
      </c>
      <c r="B28" s="45"/>
      <c r="C28" s="45"/>
      <c r="D28" s="46" t="s">
        <v>52</v>
      </c>
      <c r="E28" s="47">
        <v>124168428</v>
      </c>
      <c r="F28" s="47">
        <v>199477427.5</v>
      </c>
      <c r="G28" s="47">
        <v>138479286.5</v>
      </c>
      <c r="H28" s="47">
        <v>138479286.5</v>
      </c>
      <c r="I28" s="47">
        <v>138479286.5</v>
      </c>
      <c r="J28" s="47">
        <v>138337798.9014</v>
      </c>
      <c r="K28" s="47">
        <f>J28-L28</f>
        <v>398364.21070000529</v>
      </c>
      <c r="L28" s="47">
        <v>137939434.69069999</v>
      </c>
      <c r="M28" s="48">
        <f>IF(H28=0,0,L28/H28*100)</f>
        <v>99.610156996801109</v>
      </c>
      <c r="N28" s="48">
        <f>IF(G28=0,0,L28/G28*100)</f>
        <v>99.610156996801109</v>
      </c>
    </row>
    <row r="29" spans="1:14" s="4" customFormat="1" ht="38.25">
      <c r="A29" s="45" t="s">
        <v>53</v>
      </c>
      <c r="B29" s="45"/>
      <c r="C29" s="45"/>
      <c r="D29" s="46" t="s">
        <v>54</v>
      </c>
      <c r="E29" s="47">
        <v>440772325</v>
      </c>
      <c r="F29" s="47">
        <v>582057925.29999995</v>
      </c>
      <c r="G29" s="47">
        <v>476657042.10000002</v>
      </c>
      <c r="H29" s="47">
        <v>476657042.10000002</v>
      </c>
      <c r="I29" s="47">
        <v>476657042.10000002</v>
      </c>
      <c r="J29" s="47">
        <v>475710269.98339999</v>
      </c>
      <c r="K29" s="47">
        <f>J29-L29</f>
        <v>1403105.2455999851</v>
      </c>
      <c r="L29" s="47">
        <v>474307164.7378</v>
      </c>
      <c r="M29" s="48">
        <f>IF(H29=0,0,L29/H29*100)</f>
        <v>99.507008781020573</v>
      </c>
      <c r="N29" s="48">
        <f>IF(G29=0,0,L29/G29*100)</f>
        <v>99.507008781020573</v>
      </c>
    </row>
    <row r="30" spans="1:14" s="4" customFormat="1" ht="25.5">
      <c r="A30" s="45" t="s">
        <v>55</v>
      </c>
      <c r="B30" s="45"/>
      <c r="C30" s="45"/>
      <c r="D30" s="46" t="s">
        <v>56</v>
      </c>
      <c r="E30" s="47">
        <v>23015076</v>
      </c>
      <c r="F30" s="47">
        <v>25831036.300000001</v>
      </c>
      <c r="G30" s="47">
        <v>29871947.600000001</v>
      </c>
      <c r="H30" s="47">
        <v>29871947.600000001</v>
      </c>
      <c r="I30" s="47">
        <v>29871947.600000001</v>
      </c>
      <c r="J30" s="47">
        <v>29816986.1329</v>
      </c>
      <c r="K30" s="47">
        <f>J30-L30</f>
        <v>26047.239500001073</v>
      </c>
      <c r="L30" s="47">
        <v>29790938.893399999</v>
      </c>
      <c r="M30" s="48">
        <f>IF(H30=0,0,L30/H30*100)</f>
        <v>99.728813441678625</v>
      </c>
      <c r="N30" s="48">
        <f>IF(G30=0,0,L30/G30*100)</f>
        <v>99.728813441678625</v>
      </c>
    </row>
    <row r="31" spans="1:14" s="4" customFormat="1" ht="12.75">
      <c r="A31" s="45" t="s">
        <v>57</v>
      </c>
      <c r="B31" s="45"/>
      <c r="C31" s="45"/>
      <c r="D31" s="46" t="s">
        <v>58</v>
      </c>
      <c r="E31" s="47">
        <v>817831915.39999998</v>
      </c>
      <c r="F31" s="47">
        <v>953391955.89999998</v>
      </c>
      <c r="G31" s="47">
        <v>852507446.29999995</v>
      </c>
      <c r="H31" s="47">
        <v>852507446.29999995</v>
      </c>
      <c r="I31" s="47">
        <v>852507446.29999995</v>
      </c>
      <c r="J31" s="47">
        <v>851527001.8635</v>
      </c>
      <c r="K31" s="47">
        <f>J31-L31</f>
        <v>1092557.3330999613</v>
      </c>
      <c r="L31" s="47">
        <v>850434444.53040004</v>
      </c>
      <c r="M31" s="48">
        <f>IF(H31=0,0,L31/H31*100)</f>
        <v>99.756834760963429</v>
      </c>
      <c r="N31" s="48">
        <f>IF(G31=0,0,L31/G31*100)</f>
        <v>99.756834760963429</v>
      </c>
    </row>
    <row r="32" spans="1:14" s="4" customFormat="1" ht="12.75">
      <c r="A32" s="45" t="s">
        <v>59</v>
      </c>
      <c r="B32" s="45"/>
      <c r="C32" s="45"/>
      <c r="D32" s="46" t="s">
        <v>60</v>
      </c>
      <c r="E32" s="47">
        <v>377505223.80000001</v>
      </c>
      <c r="F32" s="47">
        <v>2449231516.1999998</v>
      </c>
      <c r="G32" s="47">
        <v>2343034033.5100002</v>
      </c>
      <c r="H32" s="47">
        <v>2343034033.5100002</v>
      </c>
      <c r="I32" s="47">
        <v>2343034033.5100002</v>
      </c>
      <c r="J32" s="47">
        <v>2335875394.8516002</v>
      </c>
      <c r="K32" s="47">
        <f>J32-L32</f>
        <v>1580814.2827000618</v>
      </c>
      <c r="L32" s="47">
        <v>2334294580.5689001</v>
      </c>
      <c r="M32" s="48">
        <f>IF(H32=0,0,L32/H32*100)</f>
        <v>99.627002731667204</v>
      </c>
      <c r="N32" s="48">
        <f>IF(G32=0,0,L32/G32*100)</f>
        <v>99.627002731667204</v>
      </c>
    </row>
    <row r="33" spans="1:14" s="4" customFormat="1" ht="12.75">
      <c r="A33" s="45" t="s">
        <v>61</v>
      </c>
      <c r="B33" s="45"/>
      <c r="C33" s="45"/>
      <c r="D33" s="46" t="s">
        <v>62</v>
      </c>
      <c r="E33" s="47">
        <v>522189184.60000002</v>
      </c>
      <c r="F33" s="47">
        <v>458946634.5</v>
      </c>
      <c r="G33" s="47">
        <v>458946634.5</v>
      </c>
      <c r="H33" s="47">
        <v>458946634.5</v>
      </c>
      <c r="I33" s="47">
        <v>458946634.5</v>
      </c>
      <c r="J33" s="47">
        <v>458873538.66390002</v>
      </c>
      <c r="K33" s="47">
        <f>J33-L33</f>
        <v>0</v>
      </c>
      <c r="L33" s="47">
        <v>458873538.66390002</v>
      </c>
      <c r="M33" s="48">
        <f>IF(H33=0,0,L33/H33*100)</f>
        <v>99.984073129508914</v>
      </c>
      <c r="N33" s="48">
        <f>IF(G33=0,0,L33/G33*100)</f>
        <v>99.984073129508914</v>
      </c>
    </row>
    <row r="34" spans="1:14" s="4" customFormat="1" ht="12.75">
      <c r="A34" s="45" t="s">
        <v>63</v>
      </c>
      <c r="B34" s="45"/>
      <c r="C34" s="45"/>
      <c r="D34" s="46" t="s">
        <v>64</v>
      </c>
      <c r="E34" s="47">
        <v>12934892</v>
      </c>
      <c r="F34" s="47">
        <v>24598051.899999999</v>
      </c>
      <c r="G34" s="47">
        <v>24596341.899999999</v>
      </c>
      <c r="H34" s="47">
        <v>24596341.899999999</v>
      </c>
      <c r="I34" s="47">
        <v>24596341.899999999</v>
      </c>
      <c r="J34" s="47">
        <v>24594104.903299998</v>
      </c>
      <c r="K34" s="47">
        <f>J34-L34</f>
        <v>0</v>
      </c>
      <c r="L34" s="47">
        <v>24594104.903299998</v>
      </c>
      <c r="M34" s="48">
        <f>IF(H34=0,0,L34/H34*100)</f>
        <v>99.990905165048133</v>
      </c>
      <c r="N34" s="48">
        <f>IF(G34=0,0,L34/G34*100)</f>
        <v>99.990905165048133</v>
      </c>
    </row>
    <row r="35" spans="1:14" s="4" customFormat="1" ht="12.75">
      <c r="A35" s="41"/>
      <c r="B35" s="41"/>
      <c r="C35" s="41"/>
      <c r="D35" s="42" t="s">
        <v>65</v>
      </c>
      <c r="E35" s="43">
        <v>223469759</v>
      </c>
      <c r="F35" s="43">
        <v>202632534.40000001</v>
      </c>
      <c r="G35" s="43">
        <v>202564917.80000001</v>
      </c>
      <c r="H35" s="43">
        <v>202564917.80000001</v>
      </c>
      <c r="I35" s="43"/>
      <c r="J35" s="43"/>
      <c r="K35" s="43"/>
      <c r="L35" s="43">
        <v>201451321.58000001</v>
      </c>
      <c r="M35" s="44"/>
      <c r="N35" s="44"/>
    </row>
    <row r="36" spans="1:14" s="4" customFormat="1" ht="12.75">
      <c r="A36" s="41"/>
      <c r="B36" s="41"/>
      <c r="C36" s="41"/>
      <c r="D36" s="42" t="s">
        <v>66</v>
      </c>
      <c r="E36" s="43">
        <v>301323444</v>
      </c>
      <c r="F36" s="43">
        <v>304179059.19999999</v>
      </c>
      <c r="G36" s="43">
        <v>304179059.19999999</v>
      </c>
      <c r="H36" s="43">
        <v>304179059.19999999</v>
      </c>
      <c r="I36" s="43">
        <v>304179059.19999999</v>
      </c>
      <c r="J36" s="43">
        <v>304168717.8143</v>
      </c>
      <c r="K36" s="43">
        <f>J36-L36</f>
        <v>0</v>
      </c>
      <c r="L36" s="43">
        <v>304168717.8143</v>
      </c>
      <c r="M36" s="44">
        <f>IF(H36=0,0,L36/H36*100)</f>
        <v>99.99660023088795</v>
      </c>
      <c r="N36" s="44">
        <f>IF(G36=0,0,L36/G36*100)</f>
        <v>99.99660023088795</v>
      </c>
    </row>
    <row r="37" spans="1:14" s="4" customFormat="1" ht="12.75">
      <c r="A37" s="45" t="s">
        <v>45</v>
      </c>
      <c r="B37" s="45"/>
      <c r="C37" s="45"/>
      <c r="D37" s="46" t="s">
        <v>46</v>
      </c>
      <c r="E37" s="47">
        <v>6837004</v>
      </c>
      <c r="F37" s="47">
        <v>7220607</v>
      </c>
      <c r="G37" s="47">
        <v>7220607</v>
      </c>
      <c r="H37" s="47">
        <v>7220607</v>
      </c>
      <c r="I37" s="47">
        <v>7220607</v>
      </c>
      <c r="J37" s="47">
        <v>7220607</v>
      </c>
      <c r="K37" s="47">
        <f>J37-L37</f>
        <v>0</v>
      </c>
      <c r="L37" s="47">
        <v>7220607</v>
      </c>
      <c r="M37" s="48">
        <f>IF(H37=0,0,L37/H37*100)</f>
        <v>100</v>
      </c>
      <c r="N37" s="48">
        <f>IF(G37=0,0,L37/G37*100)</f>
        <v>100</v>
      </c>
    </row>
    <row r="38" spans="1:14" s="4" customFormat="1" ht="12.75">
      <c r="A38" s="45" t="s">
        <v>47</v>
      </c>
      <c r="B38" s="45"/>
      <c r="C38" s="45"/>
      <c r="D38" s="46" t="s">
        <v>48</v>
      </c>
      <c r="E38" s="47">
        <v>94890243</v>
      </c>
      <c r="F38" s="47">
        <v>48068664.700000003</v>
      </c>
      <c r="G38" s="47">
        <v>48068664.700000003</v>
      </c>
      <c r="H38" s="47">
        <v>48068664.700000003</v>
      </c>
      <c r="I38" s="47">
        <v>48068664.700000003</v>
      </c>
      <c r="J38" s="47">
        <v>48068662.895499997</v>
      </c>
      <c r="K38" s="47">
        <f>J38-L38</f>
        <v>0</v>
      </c>
      <c r="L38" s="47">
        <v>48068662.895499997</v>
      </c>
      <c r="M38" s="48">
        <f>IF(H38=0,0,L38/H38*100)</f>
        <v>99.999996245995149</v>
      </c>
      <c r="N38" s="48">
        <f>IF(G38=0,0,L38/G38*100)</f>
        <v>99.999996245995149</v>
      </c>
    </row>
    <row r="39" spans="1:14" s="4" customFormat="1" ht="38.25">
      <c r="A39" s="45" t="s">
        <v>53</v>
      </c>
      <c r="B39" s="45"/>
      <c r="C39" s="45"/>
      <c r="D39" s="46" t="s">
        <v>54</v>
      </c>
      <c r="E39" s="47">
        <v>71948022</v>
      </c>
      <c r="F39" s="47">
        <v>100874867.5</v>
      </c>
      <c r="G39" s="47">
        <v>100874867.5</v>
      </c>
      <c r="H39" s="47">
        <v>100874867.5</v>
      </c>
      <c r="I39" s="47">
        <v>100874867.5</v>
      </c>
      <c r="J39" s="47">
        <v>100864528.23999999</v>
      </c>
      <c r="K39" s="47">
        <f>J39-L39</f>
        <v>0</v>
      </c>
      <c r="L39" s="47">
        <v>100864528.23999999</v>
      </c>
      <c r="M39" s="48">
        <f>IF(H39=0,0,L39/H39*100)</f>
        <v>99.989750410328909</v>
      </c>
      <c r="N39" s="48">
        <f>IF(G39=0,0,L39/G39*100)</f>
        <v>99.989750410328909</v>
      </c>
    </row>
    <row r="40" spans="1:14" s="4" customFormat="1" ht="25.5">
      <c r="A40" s="45" t="s">
        <v>55</v>
      </c>
      <c r="B40" s="45"/>
      <c r="C40" s="45"/>
      <c r="D40" s="46" t="s">
        <v>56</v>
      </c>
      <c r="E40" s="47">
        <v>0</v>
      </c>
      <c r="F40" s="47">
        <v>10000000</v>
      </c>
      <c r="G40" s="47">
        <v>10000000</v>
      </c>
      <c r="H40" s="47">
        <v>10000000</v>
      </c>
      <c r="I40" s="47">
        <v>10000000</v>
      </c>
      <c r="J40" s="47">
        <v>10000000</v>
      </c>
      <c r="K40" s="47">
        <f>J40-L40</f>
        <v>0</v>
      </c>
      <c r="L40" s="47">
        <v>10000000</v>
      </c>
      <c r="M40" s="48">
        <f>IF(H40=0,0,L40/H40*100)</f>
        <v>100</v>
      </c>
      <c r="N40" s="48">
        <f>IF(G40=0,0,L40/G40*100)</f>
        <v>100</v>
      </c>
    </row>
    <row r="41" spans="1:14" s="4" customFormat="1" ht="12.75">
      <c r="A41" s="45" t="s">
        <v>57</v>
      </c>
      <c r="B41" s="45"/>
      <c r="C41" s="45"/>
      <c r="D41" s="46" t="s">
        <v>58</v>
      </c>
      <c r="E41" s="47">
        <v>18600000</v>
      </c>
      <c r="F41" s="47">
        <v>18600000</v>
      </c>
      <c r="G41" s="47">
        <v>18600000</v>
      </c>
      <c r="H41" s="47">
        <v>18600000</v>
      </c>
      <c r="I41" s="47">
        <v>18600000</v>
      </c>
      <c r="J41" s="47">
        <v>18600000</v>
      </c>
      <c r="K41" s="47">
        <f>J41-L41</f>
        <v>0</v>
      </c>
      <c r="L41" s="47">
        <v>18600000</v>
      </c>
      <c r="M41" s="48">
        <f>IF(H41=0,0,L41/H41*100)</f>
        <v>100</v>
      </c>
      <c r="N41" s="48">
        <f>IF(G41=0,0,L41/G41*100)</f>
        <v>100</v>
      </c>
    </row>
    <row r="42" spans="1:14" s="4" customFormat="1" ht="12.75">
      <c r="A42" s="45" t="s">
        <v>59</v>
      </c>
      <c r="B42" s="45"/>
      <c r="C42" s="45"/>
      <c r="D42" s="46" t="s">
        <v>60</v>
      </c>
      <c r="E42" s="47">
        <v>109048175</v>
      </c>
      <c r="F42" s="47">
        <v>119414920</v>
      </c>
      <c r="G42" s="47">
        <v>119414920</v>
      </c>
      <c r="H42" s="47">
        <v>119414920</v>
      </c>
      <c r="I42" s="47">
        <v>119414920</v>
      </c>
      <c r="J42" s="47">
        <v>119414919.6788</v>
      </c>
      <c r="K42" s="47">
        <f>J42-L42</f>
        <v>0</v>
      </c>
      <c r="L42" s="47">
        <v>119414919.6788</v>
      </c>
      <c r="M42" s="48">
        <f>IF(H42=0,0,L42/H42*100)</f>
        <v>99.999999731021887</v>
      </c>
      <c r="N42" s="48">
        <f>IF(G42=0,0,L42/G42*100)</f>
        <v>99.999999731021887</v>
      </c>
    </row>
    <row r="43" spans="1:14" s="4" customFormat="1" ht="12.75">
      <c r="A43" s="41"/>
      <c r="B43" s="41"/>
      <c r="C43" s="41"/>
      <c r="D43" s="42" t="s">
        <v>67</v>
      </c>
      <c r="E43" s="43">
        <v>77853685</v>
      </c>
      <c r="F43" s="43">
        <v>101546524.8</v>
      </c>
      <c r="G43" s="43">
        <v>101614141.40000001</v>
      </c>
      <c r="H43" s="43">
        <v>101614141.40000001</v>
      </c>
      <c r="I43" s="43"/>
      <c r="J43" s="43"/>
      <c r="K43" s="43"/>
      <c r="L43" s="43">
        <v>102717396.2344</v>
      </c>
      <c r="M43" s="44">
        <f>IF(H43=0,0,L43/H43*100)</f>
        <v>101.08572962306208</v>
      </c>
      <c r="N43" s="44">
        <f>IF(G43=0,0,L43/G43*100)</f>
        <v>101.08572962306208</v>
      </c>
    </row>
    <row r="44" spans="1:14" s="4" customFormat="1" ht="12.75">
      <c r="A44" s="45" t="s">
        <v>68</v>
      </c>
      <c r="B44" s="45"/>
      <c r="C44" s="45"/>
      <c r="D44" s="46" t="s">
        <v>69</v>
      </c>
      <c r="E44" s="47">
        <v>77853685</v>
      </c>
      <c r="F44" s="47">
        <v>101546524.8</v>
      </c>
      <c r="G44" s="47">
        <v>101614141.40000001</v>
      </c>
      <c r="H44" s="47">
        <v>101614141.40000001</v>
      </c>
      <c r="I44" s="47"/>
      <c r="J44" s="47"/>
      <c r="K44" s="47"/>
      <c r="L44" s="47">
        <v>102717396.2344</v>
      </c>
      <c r="M44" s="48">
        <f>IF(H44=0,0,L44/H44*100)</f>
        <v>101.08572962306208</v>
      </c>
      <c r="N44" s="48">
        <f>IF(G44=0,0,L44/G44*100)</f>
        <v>101.08572962306208</v>
      </c>
    </row>
    <row r="45" spans="1:14" s="4" customFormat="1" ht="25.5">
      <c r="A45" s="41"/>
      <c r="B45" s="41"/>
      <c r="C45" s="41"/>
      <c r="D45" s="42" t="s">
        <v>70</v>
      </c>
      <c r="E45" s="43">
        <v>160874994</v>
      </c>
      <c r="F45" s="43">
        <v>335085618.89999998</v>
      </c>
      <c r="G45" s="43">
        <v>337537899.89999998</v>
      </c>
      <c r="H45" s="43">
        <v>337537899.89999998</v>
      </c>
      <c r="I45" s="43"/>
      <c r="J45" s="43"/>
      <c r="K45" s="43"/>
      <c r="L45" s="43">
        <v>336181808.79299998</v>
      </c>
      <c r="M45" s="44"/>
      <c r="N45" s="44"/>
    </row>
    <row r="46" spans="1:14" s="4" customFormat="1" ht="12.75">
      <c r="A46" s="41"/>
      <c r="B46" s="41"/>
      <c r="C46" s="41"/>
      <c r="D46" s="42" t="s">
        <v>71</v>
      </c>
      <c r="E46" s="43">
        <v>163896584</v>
      </c>
      <c r="F46" s="43">
        <v>337629268.19999999</v>
      </c>
      <c r="G46" s="43">
        <v>340081549.19999999</v>
      </c>
      <c r="H46" s="43">
        <v>340081549.19999999</v>
      </c>
      <c r="I46" s="43">
        <v>340081549.19999999</v>
      </c>
      <c r="J46" s="43">
        <v>339932059.64719999</v>
      </c>
      <c r="K46" s="43">
        <f>J46-L46</f>
        <v>0</v>
      </c>
      <c r="L46" s="43">
        <v>339932059.64719999</v>
      </c>
      <c r="M46" s="44">
        <f>IF(H46=0,0,L46/H46*100)</f>
        <v>99.956043027576285</v>
      </c>
      <c r="N46" s="44">
        <f>IF(G46=0,0,L46/G46*100)</f>
        <v>99.956043027576285</v>
      </c>
    </row>
    <row r="47" spans="1:14" s="4" customFormat="1" ht="12.75">
      <c r="A47" s="45" t="s">
        <v>35</v>
      </c>
      <c r="B47" s="45"/>
      <c r="C47" s="45"/>
      <c r="D47" s="46" t="s">
        <v>36</v>
      </c>
      <c r="E47" s="47">
        <v>12836320</v>
      </c>
      <c r="F47" s="47">
        <v>11750444</v>
      </c>
      <c r="G47" s="47">
        <v>11750444</v>
      </c>
      <c r="H47" s="47">
        <v>11750444</v>
      </c>
      <c r="I47" s="47">
        <v>11750444</v>
      </c>
      <c r="J47" s="47">
        <v>11750443.008300001</v>
      </c>
      <c r="K47" s="47">
        <f>J47-L47</f>
        <v>0</v>
      </c>
      <c r="L47" s="47">
        <v>11750443.008300001</v>
      </c>
      <c r="M47" s="48">
        <f>IF(H47=0,0,L47/H47*100)</f>
        <v>99.999991560318918</v>
      </c>
      <c r="N47" s="48">
        <f>IF(G47=0,0,L47/G47*100)</f>
        <v>99.999991560318918</v>
      </c>
    </row>
    <row r="48" spans="1:14" s="4" customFormat="1" ht="12.75">
      <c r="A48" s="45" t="s">
        <v>37</v>
      </c>
      <c r="B48" s="45"/>
      <c r="C48" s="45"/>
      <c r="D48" s="46" t="s">
        <v>38</v>
      </c>
      <c r="E48" s="47">
        <v>11045254</v>
      </c>
      <c r="F48" s="47">
        <v>10178220</v>
      </c>
      <c r="G48" s="47">
        <v>10178220</v>
      </c>
      <c r="H48" s="47">
        <v>10178220</v>
      </c>
      <c r="I48" s="47">
        <v>10178220</v>
      </c>
      <c r="J48" s="47">
        <v>10178220</v>
      </c>
      <c r="K48" s="47">
        <f>J48-L48</f>
        <v>0</v>
      </c>
      <c r="L48" s="47">
        <v>10178220</v>
      </c>
      <c r="M48" s="48">
        <f>IF(H48=0,0,L48/H48*100)</f>
        <v>100</v>
      </c>
      <c r="N48" s="48">
        <f>IF(G48=0,0,L48/G48*100)</f>
        <v>100</v>
      </c>
    </row>
    <row r="49" spans="1:14" s="4" customFormat="1" ht="12.75">
      <c r="A49" s="45" t="s">
        <v>41</v>
      </c>
      <c r="B49" s="45"/>
      <c r="C49" s="45"/>
      <c r="D49" s="46" t="s">
        <v>42</v>
      </c>
      <c r="E49" s="47">
        <v>0</v>
      </c>
      <c r="F49" s="47">
        <v>790957</v>
      </c>
      <c r="G49" s="47">
        <v>790957</v>
      </c>
      <c r="H49" s="47">
        <v>790957</v>
      </c>
      <c r="I49" s="47">
        <v>790957</v>
      </c>
      <c r="J49" s="47">
        <v>790956.6</v>
      </c>
      <c r="K49" s="47">
        <f>J49-L49</f>
        <v>0</v>
      </c>
      <c r="L49" s="47">
        <v>790956.6</v>
      </c>
      <c r="M49" s="48">
        <f>IF(H49=0,0,L49/H49*100)</f>
        <v>99.999949428350718</v>
      </c>
      <c r="N49" s="48">
        <f>IF(G49=0,0,L49/G49*100)</f>
        <v>99.999949428350718</v>
      </c>
    </row>
    <row r="50" spans="1:14" s="4" customFormat="1" ht="12.75">
      <c r="A50" s="45" t="s">
        <v>43</v>
      </c>
      <c r="B50" s="45"/>
      <c r="C50" s="45"/>
      <c r="D50" s="46" t="s">
        <v>44</v>
      </c>
      <c r="E50" s="47">
        <v>545203</v>
      </c>
      <c r="F50" s="47">
        <v>0</v>
      </c>
      <c r="G50" s="47">
        <v>0</v>
      </c>
      <c r="H50" s="47">
        <v>0</v>
      </c>
      <c r="I50" s="47"/>
      <c r="J50" s="47"/>
      <c r="K50" s="47"/>
      <c r="L50" s="47">
        <v>0</v>
      </c>
      <c r="M50" s="48">
        <f>IF(H50=0,0,L50/H50*100)</f>
        <v>0</v>
      </c>
      <c r="N50" s="48">
        <f>IF(G50=0,0,L50/G50*100)</f>
        <v>0</v>
      </c>
    </row>
    <row r="51" spans="1:14" s="4" customFormat="1" ht="12.75">
      <c r="A51" s="45" t="s">
        <v>47</v>
      </c>
      <c r="B51" s="45"/>
      <c r="C51" s="45"/>
      <c r="D51" s="46" t="s">
        <v>48</v>
      </c>
      <c r="E51" s="47">
        <v>10187687</v>
      </c>
      <c r="F51" s="47">
        <v>14565917</v>
      </c>
      <c r="G51" s="47">
        <v>16099483</v>
      </c>
      <c r="H51" s="47">
        <v>16099483</v>
      </c>
      <c r="I51" s="47">
        <v>16099483</v>
      </c>
      <c r="J51" s="47">
        <v>16099413.3511</v>
      </c>
      <c r="K51" s="47">
        <f>J51-L51</f>
        <v>0</v>
      </c>
      <c r="L51" s="47">
        <v>16099413.3511</v>
      </c>
      <c r="M51" s="48">
        <f>IF(H51=0,0,L51/H51*100)</f>
        <v>99.999567384244571</v>
      </c>
      <c r="N51" s="48">
        <f>IF(G51=0,0,L51/G51*100)</f>
        <v>99.999567384244571</v>
      </c>
    </row>
    <row r="52" spans="1:14" s="4" customFormat="1" ht="38.25">
      <c r="A52" s="45" t="s">
        <v>53</v>
      </c>
      <c r="B52" s="45"/>
      <c r="C52" s="45"/>
      <c r="D52" s="46" t="s">
        <v>54</v>
      </c>
      <c r="E52" s="47">
        <v>7675063</v>
      </c>
      <c r="F52" s="47">
        <v>22642063</v>
      </c>
      <c r="G52" s="47">
        <v>23210750</v>
      </c>
      <c r="H52" s="47">
        <v>23210750</v>
      </c>
      <c r="I52" s="47">
        <v>23210750</v>
      </c>
      <c r="J52" s="47">
        <v>23210750</v>
      </c>
      <c r="K52" s="47">
        <f>J52-L52</f>
        <v>0</v>
      </c>
      <c r="L52" s="47">
        <v>23210750</v>
      </c>
      <c r="M52" s="48">
        <f>IF(H52=0,0,L52/H52*100)</f>
        <v>100</v>
      </c>
      <c r="N52" s="48">
        <f>IF(G52=0,0,L52/G52*100)</f>
        <v>100</v>
      </c>
    </row>
    <row r="53" spans="1:14" s="4" customFormat="1" ht="25.5">
      <c r="A53" s="45" t="s">
        <v>55</v>
      </c>
      <c r="B53" s="45"/>
      <c r="C53" s="45"/>
      <c r="D53" s="46" t="s">
        <v>56</v>
      </c>
      <c r="E53" s="47">
        <v>0</v>
      </c>
      <c r="F53" s="47">
        <v>20000000</v>
      </c>
      <c r="G53" s="47">
        <v>20000000</v>
      </c>
      <c r="H53" s="47">
        <v>20000000</v>
      </c>
      <c r="I53" s="47">
        <v>20000000</v>
      </c>
      <c r="J53" s="47">
        <v>20000000</v>
      </c>
      <c r="K53" s="47">
        <f>J53-L53</f>
        <v>0</v>
      </c>
      <c r="L53" s="47">
        <v>20000000</v>
      </c>
      <c r="M53" s="48">
        <f>IF(H53=0,0,L53/H53*100)</f>
        <v>100</v>
      </c>
      <c r="N53" s="48">
        <f>IF(G53=0,0,L53/G53*100)</f>
        <v>100</v>
      </c>
    </row>
    <row r="54" spans="1:14" s="4" customFormat="1" ht="12.75">
      <c r="A54" s="45" t="s">
        <v>57</v>
      </c>
      <c r="B54" s="45"/>
      <c r="C54" s="45"/>
      <c r="D54" s="46" t="s">
        <v>58</v>
      </c>
      <c r="E54" s="47">
        <v>75803865</v>
      </c>
      <c r="F54" s="47">
        <v>111451081</v>
      </c>
      <c r="G54" s="47">
        <v>111451081</v>
      </c>
      <c r="H54" s="47">
        <v>111451081</v>
      </c>
      <c r="I54" s="47">
        <v>111451081</v>
      </c>
      <c r="J54" s="47">
        <v>111451080</v>
      </c>
      <c r="K54" s="47">
        <f>J54-L54</f>
        <v>0</v>
      </c>
      <c r="L54" s="47">
        <v>111451080</v>
      </c>
      <c r="M54" s="48">
        <f>IF(H54=0,0,L54/H54*100)</f>
        <v>99.999999102745349</v>
      </c>
      <c r="N54" s="48">
        <f>IF(G54=0,0,L54/G54*100)</f>
        <v>99.999999102745349</v>
      </c>
    </row>
    <row r="55" spans="1:14" s="4" customFormat="1" ht="12.75">
      <c r="A55" s="45" t="s">
        <v>59</v>
      </c>
      <c r="B55" s="45"/>
      <c r="C55" s="45"/>
      <c r="D55" s="46" t="s">
        <v>60</v>
      </c>
      <c r="E55" s="47">
        <v>45803192</v>
      </c>
      <c r="F55" s="47">
        <v>146250586.19999999</v>
      </c>
      <c r="G55" s="47">
        <v>146600614.19999999</v>
      </c>
      <c r="H55" s="47">
        <v>146600614.19999999</v>
      </c>
      <c r="I55" s="47">
        <v>146600614.19999999</v>
      </c>
      <c r="J55" s="47">
        <v>146451196.6877</v>
      </c>
      <c r="K55" s="47">
        <f>J55-L55</f>
        <v>0</v>
      </c>
      <c r="L55" s="47">
        <v>146451196.6877</v>
      </c>
      <c r="M55" s="48">
        <f>IF(H55=0,0,L55/H55*100)</f>
        <v>99.898078522306776</v>
      </c>
      <c r="N55" s="48">
        <f>IF(G55=0,0,L55/G55*100)</f>
        <v>99.898078522306776</v>
      </c>
    </row>
    <row r="56" spans="1:14" s="4" customFormat="1" ht="25.5">
      <c r="A56" s="41"/>
      <c r="B56" s="41"/>
      <c r="C56" s="41"/>
      <c r="D56" s="42" t="s">
        <v>72</v>
      </c>
      <c r="E56" s="43">
        <v>3021590</v>
      </c>
      <c r="F56" s="43">
        <v>2543649.2999999998</v>
      </c>
      <c r="G56" s="43">
        <v>2543649.2999999998</v>
      </c>
      <c r="H56" s="43">
        <v>2543649.2999999998</v>
      </c>
      <c r="I56" s="43"/>
      <c r="J56" s="43"/>
      <c r="K56" s="43"/>
      <c r="L56" s="43">
        <v>3750250.8539999998</v>
      </c>
      <c r="M56" s="44">
        <f>IF(H56=0,0,L56/H56*100)</f>
        <v>147.43584557824067</v>
      </c>
      <c r="N56" s="44">
        <f>IF(G56=0,0,L56/G56*100)</f>
        <v>147.43584557824067</v>
      </c>
    </row>
    <row r="57" spans="1:14" s="4" customFormat="1" ht="25.5">
      <c r="A57" s="45" t="s">
        <v>73</v>
      </c>
      <c r="B57" s="45"/>
      <c r="C57" s="45"/>
      <c r="D57" s="46" t="s">
        <v>74</v>
      </c>
      <c r="E57" s="47">
        <v>3021590</v>
      </c>
      <c r="F57" s="47">
        <v>2543649.2999999998</v>
      </c>
      <c r="G57" s="47">
        <v>2543649.2999999998</v>
      </c>
      <c r="H57" s="47">
        <v>2543649.2999999998</v>
      </c>
      <c r="I57" s="47"/>
      <c r="J57" s="47"/>
      <c r="K57" s="47"/>
      <c r="L57" s="47">
        <v>3750250.85402</v>
      </c>
      <c r="M57" s="48">
        <f>IF(H57=0,0,L57/H57*100)</f>
        <v>147.43584557902696</v>
      </c>
      <c r="N57" s="48">
        <f>IF(G57=0,0,L57/G57*100)</f>
        <v>147.43584557902696</v>
      </c>
    </row>
    <row r="58" spans="1:14" s="4" customFormat="1" ht="12.75">
      <c r="A58" s="41"/>
      <c r="B58" s="41"/>
      <c r="C58" s="41"/>
      <c r="D58" s="42" t="s">
        <v>75</v>
      </c>
      <c r="E58" s="43">
        <v>-1266996539.8</v>
      </c>
      <c r="F58" s="43">
        <v>-2577443197.1999998</v>
      </c>
      <c r="G58" s="43">
        <v>-1653299226.9000001</v>
      </c>
      <c r="H58" s="43">
        <v>-1653299226.9000001</v>
      </c>
      <c r="I58" s="43"/>
      <c r="J58" s="43"/>
      <c r="K58" s="43"/>
      <c r="L58" s="43">
        <v>-1455319775.3180001</v>
      </c>
      <c r="M58" s="44"/>
      <c r="N58" s="44"/>
    </row>
    <row r="59" spans="1:14" s="4" customFormat="1" ht="25.5">
      <c r="A59" s="41"/>
      <c r="B59" s="41"/>
      <c r="C59" s="41"/>
      <c r="D59" s="42" t="s">
        <v>76</v>
      </c>
      <c r="E59" s="43">
        <v>1266996539.8</v>
      </c>
      <c r="F59" s="43">
        <v>2577443197.1999998</v>
      </c>
      <c r="G59" s="43">
        <v>1653299226.9000001</v>
      </c>
      <c r="H59" s="43">
        <v>1653299226.9000001</v>
      </c>
      <c r="I59" s="43"/>
      <c r="J59" s="43"/>
      <c r="K59" s="43"/>
      <c r="L59" s="43">
        <v>1455319775.3180001</v>
      </c>
      <c r="M59" s="44"/>
      <c r="N59" s="44"/>
    </row>
    <row r="60" spans="1:14" s="4" customFormat="1" ht="12.75">
      <c r="A60" s="41"/>
      <c r="B60" s="41"/>
      <c r="C60" s="41"/>
      <c r="D60" s="42" t="s">
        <v>77</v>
      </c>
      <c r="E60" s="43">
        <v>1027671364</v>
      </c>
      <c r="F60" s="43">
        <v>1809819200</v>
      </c>
      <c r="G60" s="43">
        <v>1809819200</v>
      </c>
      <c r="H60" s="43">
        <v>1809819200</v>
      </c>
      <c r="I60" s="43"/>
      <c r="J60" s="43"/>
      <c r="K60" s="43"/>
      <c r="L60" s="43">
        <v>1805068255.3155999</v>
      </c>
      <c r="M60" s="44">
        <f>IF(H60=0,0,L60/H60*100)</f>
        <v>99.737490646336383</v>
      </c>
      <c r="N60" s="44">
        <f>IF(G60=0,0,L60/G60*100)</f>
        <v>99.737490646336383</v>
      </c>
    </row>
    <row r="61" spans="1:14" s="4" customFormat="1" ht="12.75">
      <c r="A61" s="45" t="s">
        <v>78</v>
      </c>
      <c r="B61" s="45"/>
      <c r="C61" s="45"/>
      <c r="D61" s="46" t="s">
        <v>79</v>
      </c>
      <c r="E61" s="47">
        <v>1027671364</v>
      </c>
      <c r="F61" s="47">
        <v>1809819200</v>
      </c>
      <c r="G61" s="47">
        <v>1809819200</v>
      </c>
      <c r="H61" s="47">
        <v>1809819200</v>
      </c>
      <c r="I61" s="47"/>
      <c r="J61" s="47"/>
      <c r="K61" s="47"/>
      <c r="L61" s="47">
        <v>1805068255.3155999</v>
      </c>
      <c r="M61" s="48">
        <f>IF(H61=0,0,L61/H61*100)</f>
        <v>99.737490646336383</v>
      </c>
      <c r="N61" s="48">
        <f>IF(G61=0,0,L61/G61*100)</f>
        <v>99.737490646336383</v>
      </c>
    </row>
    <row r="62" spans="1:14" s="4" customFormat="1" ht="12.75">
      <c r="A62" s="41"/>
      <c r="B62" s="41"/>
      <c r="C62" s="41"/>
      <c r="D62" s="42" t="s">
        <v>80</v>
      </c>
      <c r="E62" s="43">
        <v>425123150</v>
      </c>
      <c r="F62" s="43">
        <v>395558696</v>
      </c>
      <c r="G62" s="43">
        <v>395558696</v>
      </c>
      <c r="H62" s="43">
        <v>395558696</v>
      </c>
      <c r="I62" s="43">
        <v>395558696</v>
      </c>
      <c r="J62" s="43">
        <v>394477717.9619</v>
      </c>
      <c r="K62" s="43">
        <f>J62-L62</f>
        <v>0</v>
      </c>
      <c r="L62" s="43">
        <v>394477717.9619</v>
      </c>
      <c r="M62" s="44">
        <f>IF(H62=0,0,L62/H62*100)</f>
        <v>99.726721204961194</v>
      </c>
      <c r="N62" s="44">
        <f>IF(G62=0,0,L62/G62*100)</f>
        <v>99.726721204961194</v>
      </c>
    </row>
    <row r="63" spans="1:14" s="4" customFormat="1" ht="12.75">
      <c r="A63" s="45" t="s">
        <v>81</v>
      </c>
      <c r="B63" s="45"/>
      <c r="C63" s="45"/>
      <c r="D63" s="46" t="s">
        <v>82</v>
      </c>
      <c r="E63" s="47">
        <v>425123150</v>
      </c>
      <c r="F63" s="47">
        <v>395558696</v>
      </c>
      <c r="G63" s="47">
        <v>395558696</v>
      </c>
      <c r="H63" s="47">
        <v>395558696</v>
      </c>
      <c r="I63" s="47">
        <v>395558696</v>
      </c>
      <c r="J63" s="47">
        <v>394477717.9619</v>
      </c>
      <c r="K63" s="47">
        <f>J63-L63</f>
        <v>0</v>
      </c>
      <c r="L63" s="47">
        <v>394477717.9619</v>
      </c>
      <c r="M63" s="48">
        <f>IF(H63=0,0,L63/H63*100)</f>
        <v>99.726721204961194</v>
      </c>
      <c r="N63" s="48">
        <f>IF(G63=0,0,L63/G63*100)</f>
        <v>99.726721204961194</v>
      </c>
    </row>
    <row r="64" spans="1:14" s="4" customFormat="1" ht="12.75">
      <c r="A64" s="41"/>
      <c r="B64" s="41"/>
      <c r="C64" s="41"/>
      <c r="D64" s="42" t="s">
        <v>83</v>
      </c>
      <c r="E64" s="43">
        <v>664448325.79999995</v>
      </c>
      <c r="F64" s="43">
        <v>1163182693.2</v>
      </c>
      <c r="G64" s="43">
        <v>239038722.90000001</v>
      </c>
      <c r="H64" s="43">
        <v>239038722.90000001</v>
      </c>
      <c r="I64" s="43"/>
      <c r="J64" s="43"/>
      <c r="K64" s="43"/>
      <c r="L64" s="43">
        <v>44729237.964000002</v>
      </c>
      <c r="M64" s="44"/>
      <c r="N64" s="44"/>
    </row>
    <row r="65" spans="1:14" s="4" customFormat="1" ht="25.5">
      <c r="A65" s="41"/>
      <c r="B65" s="41"/>
      <c r="C65" s="41"/>
      <c r="D65" s="42" t="s">
        <v>84</v>
      </c>
      <c r="E65" s="43"/>
      <c r="F65" s="43"/>
      <c r="G65" s="43"/>
      <c r="H65" s="43"/>
      <c r="I65" s="43"/>
      <c r="J65" s="43"/>
      <c r="K65" s="43"/>
      <c r="L65" s="43"/>
      <c r="M65" s="44"/>
      <c r="N65" s="44"/>
    </row>
    <row r="66" spans="1:14" s="4" customFormat="1" ht="12.75">
      <c r="A66" s="41"/>
      <c r="B66" s="41"/>
      <c r="C66" s="41"/>
      <c r="D66" s="42" t="s">
        <v>85</v>
      </c>
      <c r="E66" s="43"/>
      <c r="F66" s="43"/>
      <c r="G66" s="43"/>
      <c r="H66" s="43"/>
      <c r="I66" s="43"/>
      <c r="J66" s="43"/>
      <c r="K66" s="43"/>
      <c r="L66" s="43">
        <v>293485632.53680003</v>
      </c>
      <c r="M66" s="44"/>
      <c r="N66" s="44"/>
    </row>
    <row r="67" spans="1:14" s="4" customFormat="1" ht="12.75">
      <c r="A67" s="41"/>
      <c r="B67" s="41"/>
      <c r="C67" s="41"/>
      <c r="D67" s="42" t="s">
        <v>86</v>
      </c>
      <c r="E67" s="43"/>
      <c r="F67" s="43"/>
      <c r="G67" s="43"/>
      <c r="H67" s="43"/>
      <c r="I67" s="43"/>
      <c r="J67" s="43"/>
      <c r="K67" s="43"/>
      <c r="L67" s="43">
        <v>248756394.57300001</v>
      </c>
      <c r="M67" s="44"/>
      <c r="N67" s="44"/>
    </row>
    <row r="71" spans="1:14" ht="12">
      <c r="A71" s="24"/>
      <c r="B71" s="25"/>
      <c r="C71" s="25"/>
      <c r="D71" s="26"/>
      <c r="E71" s="26"/>
      <c r="F71" s="26"/>
      <c r="G71" s="26"/>
      <c r="H71" s="26"/>
      <c r="I71" s="26"/>
      <c r="J71" s="26"/>
      <c r="K71" s="26"/>
    </row>
  </sheetData>
  <mergeCells count="12">
    <mergeCell ref="J7:J8"/>
    <mergeCell ref="K7:K8"/>
    <mergeCell ref="L7:L8"/>
    <mergeCell ref="N7:N8"/>
    <mergeCell ref="M7:M8"/>
    <mergeCell ref="A9:C9"/>
    <mergeCell ref="A7:C8"/>
    <mergeCell ref="G7:G8"/>
    <mergeCell ref="D7:D8"/>
    <mergeCell ref="E7:E8"/>
    <mergeCell ref="F7:F8"/>
    <mergeCell ref="H7:I7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0" fitToHeight="0" orientation="landscape" useFirstPageNumber="1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MMussabekov</cp:lastModifiedBy>
  <cp:lastPrinted>2018-06-04T06:26:14Z</cp:lastPrinted>
  <dcterms:created xsi:type="dcterms:W3CDTF">2003-05-20T10:03:43Z</dcterms:created>
  <dcterms:modified xsi:type="dcterms:W3CDTF">2018-06-04T06:26:44Z</dcterms:modified>
</cp:coreProperties>
</file>