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ЭтаКнига"/>
  <bookViews>
    <workbookView xWindow="11280" yWindow="-60" windowWidth="12735" windowHeight="9735" activeTab="1"/>
  </bookViews>
  <sheets>
    <sheet name="рус" sheetId="2" r:id="rId1"/>
    <sheet name="каз" sheetId="4" r:id="rId2"/>
    <sheet name="англ" sheetId="3" r:id="rId3"/>
  </sheets>
  <definedNames>
    <definedName name="_xlnm.Print_Titles" localSheetId="0">рус!$5:$7</definedName>
    <definedName name="_xlnm.Print_Area" localSheetId="0">рус!$A$1:$E$62</definedName>
  </definedNames>
  <calcPr calcId="124519"/>
</workbook>
</file>

<file path=xl/calcChain.xml><?xml version="1.0" encoding="utf-8"?>
<calcChain xmlns="http://schemas.openxmlformats.org/spreadsheetml/2006/main">
  <c r="E61" i="2"/>
  <c r="E60"/>
  <c r="E59"/>
  <c r="E58"/>
  <c r="E55"/>
  <c r="E54"/>
  <c r="E53"/>
  <c r="E52"/>
  <c r="E51"/>
  <c r="E50"/>
  <c r="E49"/>
  <c r="E48"/>
  <c r="E47"/>
  <c r="E46"/>
  <c r="E45"/>
  <c r="E43"/>
  <c r="E42"/>
  <c r="E41"/>
  <c r="E40"/>
  <c r="E39"/>
  <c r="E38"/>
  <c r="E37"/>
  <c r="E35"/>
  <c r="E34"/>
  <c r="E33"/>
  <c r="E32"/>
  <c r="E31"/>
  <c r="E30"/>
  <c r="E29"/>
  <c r="E28"/>
  <c r="E27"/>
  <c r="E26"/>
  <c r="E25"/>
  <c r="E24"/>
  <c r="E23"/>
  <c r="E22"/>
  <c r="E21"/>
  <c r="E20"/>
  <c r="E19"/>
  <c r="E17"/>
  <c r="E14"/>
  <c r="E13"/>
  <c r="E12"/>
  <c r="E11"/>
  <c r="E10"/>
  <c r="E9"/>
  <c r="E8"/>
  <c r="E60" i="4"/>
  <c r="E59"/>
  <c r="E58"/>
  <c r="E57"/>
  <c r="E54"/>
  <c r="E53"/>
  <c r="E52"/>
  <c r="E51"/>
  <c r="E50"/>
  <c r="E49"/>
  <c r="E48"/>
  <c r="E47"/>
  <c r="E46"/>
  <c r="E45"/>
  <c r="E44"/>
  <c r="E42"/>
  <c r="E41"/>
  <c r="E40"/>
  <c r="E39"/>
  <c r="E38"/>
  <c r="E37"/>
  <c r="E36"/>
  <c r="E34"/>
  <c r="E33"/>
  <c r="E32"/>
  <c r="E31"/>
  <c r="E30"/>
  <c r="E29"/>
  <c r="E28"/>
  <c r="E27"/>
  <c r="E26"/>
  <c r="E25"/>
  <c r="E24"/>
  <c r="E23"/>
  <c r="E22"/>
  <c r="E21"/>
  <c r="E20"/>
  <c r="E19"/>
  <c r="E18"/>
  <c r="E16"/>
  <c r="E13"/>
  <c r="E12"/>
  <c r="E11"/>
  <c r="E10"/>
  <c r="E9"/>
  <c r="E8"/>
  <c r="E7"/>
  <c r="E59" i="3"/>
  <c r="E58"/>
  <c r="E57"/>
  <c r="E56"/>
  <c r="E53"/>
  <c r="E52"/>
  <c r="E51"/>
  <c r="E50"/>
  <c r="E49"/>
  <c r="E48"/>
  <c r="E47"/>
  <c r="E46"/>
  <c r="E45"/>
  <c r="E44"/>
  <c r="E43"/>
  <c r="E41"/>
  <c r="E40"/>
  <c r="E39"/>
  <c r="E38"/>
  <c r="E37"/>
  <c r="E36"/>
  <c r="E35"/>
  <c r="E33"/>
  <c r="E32"/>
  <c r="E31"/>
  <c r="E30"/>
  <c r="E29"/>
  <c r="E28"/>
  <c r="E27"/>
  <c r="E26"/>
  <c r="E25"/>
  <c r="E24"/>
  <c r="E23"/>
  <c r="E22"/>
  <c r="E21"/>
  <c r="E20"/>
  <c r="E19"/>
  <c r="E18"/>
  <c r="E17"/>
  <c r="E15"/>
  <c r="E12"/>
  <c r="E11"/>
  <c r="E10"/>
  <c r="E9"/>
  <c r="E8"/>
  <c r="E7"/>
  <c r="E6"/>
</calcChain>
</file>

<file path=xl/sharedStrings.xml><?xml version="1.0" encoding="utf-8"?>
<sst xmlns="http://schemas.openxmlformats.org/spreadsheetml/2006/main" count="297" uniqueCount="178">
  <si>
    <t xml:space="preserve">Коды бюджетной классификации </t>
  </si>
  <si>
    <t xml:space="preserve">Наименование </t>
  </si>
  <si>
    <t xml:space="preserve">1 </t>
  </si>
  <si>
    <t>I. ДОХОДЫ</t>
  </si>
  <si>
    <t>НАЛОГОВЫЕ ПОСТУПЛЕНИЯ</t>
  </si>
  <si>
    <t>1</t>
  </si>
  <si>
    <t>Налоговые поступления</t>
  </si>
  <si>
    <t>НЕНАЛОГОВЫЕ ПОСТУПЛЕНИЯ</t>
  </si>
  <si>
    <t>2</t>
  </si>
  <si>
    <t>Неналоговые поступления</t>
  </si>
  <si>
    <t>ПОСТУПЛЕНИЯ ОТ ПРОДАЖИ ОСНОВНОГО КАПИТАЛА</t>
  </si>
  <si>
    <t>3</t>
  </si>
  <si>
    <t>Поступления от продажи основного капитала</t>
  </si>
  <si>
    <t>II. ЗАТРАТЫ</t>
  </si>
  <si>
    <t>01</t>
  </si>
  <si>
    <t>Государственные услуги общего характера</t>
  </si>
  <si>
    <t>02</t>
  </si>
  <si>
    <t>Оборона</t>
  </si>
  <si>
    <t>03</t>
  </si>
  <si>
    <t>Общественный порядок, безопасность, правовая, судебная, уголовно-исполнительная деятельность</t>
  </si>
  <si>
    <t>04</t>
  </si>
  <si>
    <t>Образование</t>
  </si>
  <si>
    <t>05</t>
  </si>
  <si>
    <t>Здравоохранение</t>
  </si>
  <si>
    <t>06</t>
  </si>
  <si>
    <t>Социальная помощь и социальное обеспечение</t>
  </si>
  <si>
    <t>07</t>
  </si>
  <si>
    <t>Жилищно-коммунальное хозяйство</t>
  </si>
  <si>
    <t>08</t>
  </si>
  <si>
    <t>Культура, спорт, туризм и информационное пространство</t>
  </si>
  <si>
    <t>09</t>
  </si>
  <si>
    <t>Топливно-энергетический комплекс и недропользование</t>
  </si>
  <si>
    <t>10</t>
  </si>
  <si>
    <t>Сельское, водное, лесное, рыбное хозяйство, особо охраняемые природные территории, охрана окружающей среды и животного мира, земельные отношения</t>
  </si>
  <si>
    <t>11</t>
  </si>
  <si>
    <t>Промышленность, архитектурная, градостроительная и строительная деятельность</t>
  </si>
  <si>
    <t>12</t>
  </si>
  <si>
    <t>Транспорт и коммуникации</t>
  </si>
  <si>
    <t>13</t>
  </si>
  <si>
    <t>Прочие</t>
  </si>
  <si>
    <t>14</t>
  </si>
  <si>
    <t>Обслуживание долга</t>
  </si>
  <si>
    <t>III. ЧИСТОЕ БЮДЖЕТНОЕ КРЕДИТОВАНИЕ</t>
  </si>
  <si>
    <t>БЮДЖЕТНЫЕ КРЕДИТЫ</t>
  </si>
  <si>
    <t>ПОГАШЕНИЕ БЮДЖЕТНЫХ КРЕДИТОВ</t>
  </si>
  <si>
    <t>5</t>
  </si>
  <si>
    <t>Погашение бюджетных кредитов</t>
  </si>
  <si>
    <t>IV. САЛЬДО ПО ОПЕРАЦИЯМ С ФИНАНСОВЫМИ АКТИВАМИ</t>
  </si>
  <si>
    <t>ПРИОБРЕТЕНИЕ ФИНАНСОВЫХ АКТИВОВ</t>
  </si>
  <si>
    <t>ПОСТУПЛЕНИЯ ОТ ПРОДАЖИ ФИНАНСОВЫХ АКТИВОВ ГОСУДАРСТВА</t>
  </si>
  <si>
    <t>6</t>
  </si>
  <si>
    <t>Поступления от продажи финансовых активов государства</t>
  </si>
  <si>
    <t>V. ДЕФИЦИТ (ПРОФИЦИТ) БЮДЖЕТА</t>
  </si>
  <si>
    <t>VI. ФИНАНСИРОВАНИЕ ДЕФИЦИТА (ИСПОЛЬЗОВАНИЕ ПРОФИЦИТА) БЮДЖЕТА</t>
  </si>
  <si>
    <t>ПОСТУПЛЕНИЕ ЗАЙМОВ</t>
  </si>
  <si>
    <t>7</t>
  </si>
  <si>
    <t>Поступления займов</t>
  </si>
  <si>
    <t>ПОГАШЕНИЕ ЗАЙМОВ</t>
  </si>
  <si>
    <t>16</t>
  </si>
  <si>
    <t>Погашение займов</t>
  </si>
  <si>
    <t>ИСПОЛЬЗУЕМЫЕ ОСТАТКИ БЮДЖЕТНЫХ СРЕДСТВ</t>
  </si>
  <si>
    <t xml:space="preserve">Инвестиционные доходы от управления Национальным фондом </t>
  </si>
  <si>
    <t>Покрытие расходов, связанных с управлением Нацфондом и проведением ежегодного внешнего аудита</t>
  </si>
  <si>
    <t>15</t>
  </si>
  <si>
    <t>Трансферты</t>
  </si>
  <si>
    <t>Исполнение</t>
  </si>
  <si>
    <t>% исполнения</t>
  </si>
  <si>
    <t xml:space="preserve">Statement of Execution of the Consolidated Budget of the Republic of Kazakhstan  </t>
  </si>
  <si>
    <t xml:space="preserve">thousands tenge  </t>
  </si>
  <si>
    <t xml:space="preserve">Code of Budget Clacification </t>
  </si>
  <si>
    <t>Name</t>
  </si>
  <si>
    <t>Plan for year</t>
  </si>
  <si>
    <t>Execution of reporting  period</t>
  </si>
  <si>
    <t>% of execution</t>
  </si>
  <si>
    <t>I. REVENUES</t>
  </si>
  <si>
    <t xml:space="preserve"> TAX RECEIPTS</t>
  </si>
  <si>
    <t xml:space="preserve"> Tax receipts</t>
  </si>
  <si>
    <t>NONTAX RECEIPTS</t>
  </si>
  <si>
    <t xml:space="preserve"> Nontax receipts</t>
  </si>
  <si>
    <t xml:space="preserve">RECEIPTS FROM SALE OF FIXED CAPITAL </t>
  </si>
  <si>
    <t>Receipts from sale of fixed capital</t>
  </si>
  <si>
    <t>Investment income from the National Fund management</t>
  </si>
  <si>
    <t>II. EXPENSES</t>
  </si>
  <si>
    <t>Government services of a general nature</t>
  </si>
  <si>
    <t>Defence</t>
  </si>
  <si>
    <t>Public order, safety, legal, judical, penal execution activities</t>
  </si>
  <si>
    <t>Education</t>
  </si>
  <si>
    <t>Public health care</t>
  </si>
  <si>
    <t>Social assistance and social security</t>
  </si>
  <si>
    <t>Housing and communal services</t>
  </si>
  <si>
    <t>Culture, sports, tourism and informational space</t>
  </si>
  <si>
    <t>Fuel and energy complex and use of mineral sources</t>
  </si>
  <si>
    <t>Agriculture, water-resourses management, forestry, fishing, protected natural territories, environmental and wildlife protection, land relations</t>
  </si>
  <si>
    <t>Industry, architecture, and urban renewal and costruction activities</t>
  </si>
  <si>
    <t>Transportation and communication</t>
  </si>
  <si>
    <t>Other</t>
  </si>
  <si>
    <t>Debt service</t>
  </si>
  <si>
    <t xml:space="preserve">Expenditures connected with the National Fund management and conducting annual external audit  </t>
  </si>
  <si>
    <t>III. NET BUDGETARY LENDING</t>
  </si>
  <si>
    <t>BUDGET CREDITS</t>
  </si>
  <si>
    <t xml:space="preserve">Other </t>
  </si>
  <si>
    <t xml:space="preserve">REPAYMENT OF BUDGET CREDITS  </t>
  </si>
  <si>
    <t>Repayment of budget credits</t>
  </si>
  <si>
    <t>IV. BALANCE FOR OPERATIONS WITH FINANCIAL ASSETS</t>
  </si>
  <si>
    <t>ACQUISITION OF FINANCIAL ASSETS</t>
  </si>
  <si>
    <t>RECEIPTS FROM SALE OF FINANANCIAL ASSETS OF THE STATE</t>
  </si>
  <si>
    <t>Receipts from sale of finanancial assets of the state</t>
  </si>
  <si>
    <t>V. BUDGET DEFICIT (SURPLUS)</t>
  </si>
  <si>
    <t>VI. BUDGET DEFICIT FINANCING (USE OF BUDGET SURPLUS)</t>
  </si>
  <si>
    <t>LOANS RECEIPT</t>
  </si>
  <si>
    <t>Loans receipt</t>
  </si>
  <si>
    <t>LOANS REPAYMENT</t>
  </si>
  <si>
    <t>loans repayment</t>
  </si>
  <si>
    <t>BUDGET FUNDS BALANCES TO BE USED</t>
  </si>
  <si>
    <t xml:space="preserve">атқарылуы туралы есеп </t>
  </si>
  <si>
    <t xml:space="preserve">мың тенге </t>
  </si>
  <si>
    <t xml:space="preserve">Бюджеттік бағдарламаның кодтары </t>
  </si>
  <si>
    <t xml:space="preserve">Атауы </t>
  </si>
  <si>
    <t>Жылға арналған жоспар</t>
  </si>
  <si>
    <t>Есепті кезенде орындалу</t>
  </si>
  <si>
    <t xml:space="preserve">орындалу % </t>
  </si>
  <si>
    <t>I. КІРІСТЕР</t>
  </si>
  <si>
    <t>САЛЫҚТЫҚ ТҮСІМДЕР</t>
  </si>
  <si>
    <t>Салықтық түсімдер</t>
  </si>
  <si>
    <t>САЛЫҚТЫҚ ЕМЕС ТҮСІМДЕР</t>
  </si>
  <si>
    <t>Салықтық емес түсiмдер</t>
  </si>
  <si>
    <t>НЕГІЗГІ КАПИТАЛДЫ САТУДАН ТҮСЕТІН ТҮСІМДЕР</t>
  </si>
  <si>
    <t>Негізгі капиталды сатудан түсетін түсімдер</t>
  </si>
  <si>
    <t xml:space="preserve">Ұлттық қорды басқарудан түсетін инвестициялык кірістер </t>
  </si>
  <si>
    <t>II. ШЫҒЫНДАР</t>
  </si>
  <si>
    <t>Жалпы сипаттағы мемлекеттiк қызметтер</t>
  </si>
  <si>
    <t>Қорғаныс</t>
  </si>
  <si>
    <t>Қоғамдық тәртіп, қауіпсіздік, құқықтық, сот, қылмыстық-атқару қызметі</t>
  </si>
  <si>
    <t>Бiлiм беру</t>
  </si>
  <si>
    <t>Денсаулық сақтау</t>
  </si>
  <si>
    <t>Әлеуметтiк көмек және әлеуметтiк қамсыздандыру</t>
  </si>
  <si>
    <t>Тұрғын үй-коммуналдық шаруашылық</t>
  </si>
  <si>
    <t>Мәдениет, спорт, туризм және ақпараттық кеңістiк</t>
  </si>
  <si>
    <t>Отын-энергетика кешенi және жер қойнауын пайдалану</t>
  </si>
  <si>
    <t>Ауыл, су, орман, балық шаруашылығы, ерекше қорғалатын табиғи аумақтар, қоршаған ортаны және жануарлар дүниесін қорғау, жер қатынастары</t>
  </si>
  <si>
    <t>Өнеркәсіп, сәулет, қала құрылысы және құрылыс қызметі</t>
  </si>
  <si>
    <t>Көлiк және коммуникация</t>
  </si>
  <si>
    <t>Басқалар</t>
  </si>
  <si>
    <t>Борышқа  қызмет көрсету</t>
  </si>
  <si>
    <t>Трансферттер</t>
  </si>
  <si>
    <t>Ұлттық қорды басқаруға және жыл сайынғы сыртқы аудитті жүргізуге байланысты шығыстарды жабу</t>
  </si>
  <si>
    <t>III. ТАЗА БЮДЖЕТТІК КРЕДИТ БЕРУ</t>
  </si>
  <si>
    <t>БЮДЖЕТТІК КРЕДИТТЕР</t>
  </si>
  <si>
    <t>БЮДЖЕТТІК КРЕДИТТЕРДІ ӨТЕУ</t>
  </si>
  <si>
    <t>Бюджеттік кредиттерді өтеу</t>
  </si>
  <si>
    <t>IV. ҚАРЖЫЛЫҚ АКТИВТЕРМЕН БОЛАТЫН ОПЕРАЦИЯЛАР БОЙЫНША САЛЬДО</t>
  </si>
  <si>
    <t>ҚАРЖЫЛЫҚ АКТИВТЕРДІ САТЫП АЛУ</t>
  </si>
  <si>
    <t>МЕМЛЕКЕТТІҢ ҚАРЖЫ АКТИВТЕРІН САТУДАН ТҮСЕТІН ТҮСІМДЕР</t>
  </si>
  <si>
    <t>Мемлекеттің қаржы активтерін сатудан түсетін түсімдер</t>
  </si>
  <si>
    <t>V. БЮДЖЕТТІҢ ТАПШЫЛЫҒЫ (ПРОФИЦИТІ)</t>
  </si>
  <si>
    <t>VI. БЮДЖЕТТІҢ ТАПШЫЛЫҒЫН ҚАРЖЫЛАНДЫРУ (ПРОФИЦИТТІ ПАЙДАЛАНУ)</t>
  </si>
  <si>
    <t>ҚАРЫЗДАР ТҮСІМІ</t>
  </si>
  <si>
    <t>Қарыздар түсімі</t>
  </si>
  <si>
    <t>ҚАРЫЗДАРДЫ ӨТЕУ</t>
  </si>
  <si>
    <t>Қарыздарды өтеу</t>
  </si>
  <si>
    <t>БЮДЖЕТ ҚАРАЖАТТАРЫНЫҢ ҚОЛДАНЫЛАТЫН ҚАЛДЫҚТАРЫ</t>
  </si>
  <si>
    <t>Отчет об исполнении консолидированного бюджета</t>
  </si>
  <si>
    <t>тыс. тенге</t>
  </si>
  <si>
    <t>ПОСТУПЛЕНИЯ ТРАНСФЕРТОВ</t>
  </si>
  <si>
    <t>4</t>
  </si>
  <si>
    <t>Поступления трансфертов</t>
  </si>
  <si>
    <t xml:space="preserve">TRANSFER RECEIPTS </t>
  </si>
  <si>
    <t>Transfers receipts</t>
  </si>
  <si>
    <t>ТРАНСФЕРТТЕРДІҢ ТҮСІМДЕРІ</t>
  </si>
  <si>
    <t>Трансферттердің түсімдері</t>
  </si>
  <si>
    <t>Скорректированный  бюджет</t>
  </si>
  <si>
    <t>Transfers</t>
  </si>
  <si>
    <t>Иные поступления и доходы, не запрещенные законодательством Республики Казахстан</t>
  </si>
  <si>
    <t xml:space="preserve">Other receipts and income not prohibited by the legislation of the Republic of Kazakhstan </t>
  </si>
  <si>
    <t>Қазақстан Республикасының заңнамасымен тыйым салынбаған  өзге де түсімдер мен кірістер</t>
  </si>
  <si>
    <t>2016 жылғы 1 тамыздағы Қазақстан Республикасының бюджетінің шоғырландырылған атқарылуы туралы есеп</t>
  </si>
  <si>
    <t xml:space="preserve">as of 1 august 2016 year </t>
  </si>
  <si>
    <t>по состоянию на 1 августа 2016 года</t>
  </si>
</sst>
</file>

<file path=xl/styles.xml><?xml version="1.0" encoding="utf-8"?>
<styleSheet xmlns="http://schemas.openxmlformats.org/spreadsheetml/2006/main">
  <numFmts count="1">
    <numFmt numFmtId="164" formatCode="#,##0.0"/>
  </numFmts>
  <fonts count="19">
    <font>
      <sz val="10"/>
      <name val="Arial Cyr"/>
      <charset val="204"/>
    </font>
    <font>
      <sz val="8"/>
      <name val="Times New Roman"/>
      <family val="1"/>
      <charset val="204"/>
    </font>
    <font>
      <i/>
      <sz val="8"/>
      <name val="Times New Roman"/>
      <family val="1"/>
      <charset val="204"/>
    </font>
    <font>
      <sz val="7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8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u/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i/>
      <sz val="9"/>
      <name val="Times New Roman"/>
      <family val="1"/>
      <charset val="204"/>
    </font>
    <font>
      <b/>
      <i/>
      <sz val="8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7" fillId="0" borderId="0"/>
    <xf numFmtId="0" fontId="7" fillId="0" borderId="0"/>
  </cellStyleXfs>
  <cellXfs count="98">
    <xf numFmtId="0" fontId="0" fillId="0" borderId="0" xfId="0"/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164" fontId="4" fillId="0" borderId="0" xfId="0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9" fillId="0" borderId="0" xfId="0" applyFont="1"/>
    <xf numFmtId="0" fontId="6" fillId="0" borderId="0" xfId="0" applyFont="1" applyAlignment="1">
      <alignment wrapText="1"/>
    </xf>
    <xf numFmtId="49" fontId="1" fillId="0" borderId="0" xfId="0" applyNumberFormat="1" applyFont="1"/>
    <xf numFmtId="0" fontId="10" fillId="0" borderId="0" xfId="0" applyFont="1"/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9" fontId="11" fillId="0" borderId="0" xfId="0" applyNumberFormat="1" applyFont="1" applyAlignment="1">
      <alignment horizontal="right" vertical="center"/>
    </xf>
    <xf numFmtId="0" fontId="11" fillId="0" borderId="7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49" fontId="12" fillId="0" borderId="0" xfId="0" applyNumberFormat="1" applyFont="1" applyAlignment="1">
      <alignment horizontal="right" vertical="center"/>
    </xf>
    <xf numFmtId="0" fontId="12" fillId="0" borderId="0" xfId="0" applyFont="1" applyBorder="1" applyAlignment="1">
      <alignment vertical="center" wrapText="1"/>
    </xf>
    <xf numFmtId="0" fontId="12" fillId="0" borderId="0" xfId="1" applyFont="1" applyFill="1" applyBorder="1" applyAlignment="1">
      <alignment wrapText="1"/>
    </xf>
    <xf numFmtId="0" fontId="11" fillId="0" borderId="0" xfId="1" applyFont="1" applyFill="1" applyBorder="1" applyAlignment="1">
      <alignment wrapText="1"/>
    </xf>
    <xf numFmtId="0" fontId="11" fillId="0" borderId="0" xfId="2" applyFont="1" applyBorder="1" applyAlignment="1">
      <alignment vertical="center" wrapText="1"/>
    </xf>
    <xf numFmtId="0" fontId="11" fillId="0" borderId="0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left" vertical="center" wrapText="1"/>
    </xf>
    <xf numFmtId="49" fontId="9" fillId="0" borderId="0" xfId="0" applyNumberFormat="1" applyFont="1" applyAlignment="1">
      <alignment vertical="center"/>
    </xf>
    <xf numFmtId="0" fontId="12" fillId="0" borderId="0" xfId="1" applyFont="1" applyFill="1" applyBorder="1" applyAlignment="1">
      <alignment vertical="top" wrapText="1"/>
    </xf>
    <xf numFmtId="49" fontId="12" fillId="0" borderId="0" xfId="0" applyNumberFormat="1" applyFont="1" applyFill="1" applyAlignment="1">
      <alignment horizontal="right" vertical="center"/>
    </xf>
    <xf numFmtId="0" fontId="9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0" fillId="0" borderId="0" xfId="0" applyFill="1"/>
    <xf numFmtId="0" fontId="8" fillId="0" borderId="0" xfId="3" applyFont="1" applyAlignment="1">
      <alignment horizontal="center" vertical="top" wrapText="1"/>
    </xf>
    <xf numFmtId="49" fontId="1" fillId="0" borderId="0" xfId="3" applyNumberFormat="1" applyFont="1"/>
    <xf numFmtId="0" fontId="10" fillId="0" borderId="0" xfId="3" applyFont="1" applyAlignment="1">
      <alignment vertical="top"/>
    </xf>
    <xf numFmtId="0" fontId="10" fillId="0" borderId="0" xfId="3" applyFont="1"/>
    <xf numFmtId="0" fontId="1" fillId="0" borderId="0" xfId="3" applyFont="1" applyAlignment="1">
      <alignment vertical="center"/>
    </xf>
    <xf numFmtId="49" fontId="9" fillId="0" borderId="5" xfId="3" applyNumberFormat="1" applyFont="1" applyBorder="1" applyAlignment="1">
      <alignment horizontal="center" vertical="center" wrapText="1"/>
    </xf>
    <xf numFmtId="49" fontId="9" fillId="0" borderId="5" xfId="3" applyNumberFormat="1" applyFont="1" applyBorder="1" applyAlignment="1">
      <alignment horizontal="center" vertical="center"/>
    </xf>
    <xf numFmtId="0" fontId="9" fillId="0" borderId="2" xfId="3" applyFont="1" applyBorder="1" applyAlignment="1">
      <alignment horizontal="center" vertical="top"/>
    </xf>
    <xf numFmtId="0" fontId="9" fillId="0" borderId="2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49" fontId="11" fillId="0" borderId="0" xfId="3" applyNumberFormat="1" applyFont="1" applyAlignment="1">
      <alignment horizontal="right" vertical="center"/>
    </xf>
    <xf numFmtId="0" fontId="11" fillId="0" borderId="0" xfId="3" applyFont="1" applyAlignment="1">
      <alignment vertical="top" wrapText="1"/>
    </xf>
    <xf numFmtId="49" fontId="12" fillId="0" borderId="0" xfId="3" applyNumberFormat="1" applyFont="1" applyAlignment="1">
      <alignment horizontal="right" vertical="center"/>
    </xf>
    <xf numFmtId="0" fontId="12" fillId="0" borderId="0" xfId="3" applyFont="1" applyAlignment="1">
      <alignment vertical="top" wrapText="1"/>
    </xf>
    <xf numFmtId="49" fontId="5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/>
    </xf>
    <xf numFmtId="164" fontId="4" fillId="2" borderId="0" xfId="0" applyNumberFormat="1" applyFont="1" applyFill="1" applyAlignment="1" applyProtection="1">
      <alignment horizontal="right" vertical="center" indent="1"/>
    </xf>
    <xf numFmtId="164" fontId="2" fillId="2" borderId="0" xfId="0" applyNumberFormat="1" applyFont="1" applyFill="1" applyAlignment="1" applyProtection="1">
      <alignment horizontal="right" vertical="center" indent="1"/>
    </xf>
    <xf numFmtId="164" fontId="5" fillId="2" borderId="0" xfId="0" applyNumberFormat="1" applyFont="1" applyFill="1" applyAlignment="1" applyProtection="1">
      <alignment horizontal="right" vertical="center" indent="1"/>
    </xf>
    <xf numFmtId="164" fontId="18" fillId="2" borderId="0" xfId="0" applyNumberFormat="1" applyFont="1" applyFill="1" applyAlignment="1" applyProtection="1">
      <alignment horizontal="right" vertical="center" indent="1"/>
    </xf>
    <xf numFmtId="2" fontId="2" fillId="2" borderId="0" xfId="0" applyNumberFormat="1" applyFont="1" applyFill="1" applyAlignment="1" applyProtection="1">
      <alignment horizontal="right" vertical="center" indent="1"/>
    </xf>
    <xf numFmtId="49" fontId="12" fillId="3" borderId="0" xfId="3" applyNumberFormat="1" applyFont="1" applyFill="1" applyAlignment="1">
      <alignment horizontal="right" vertical="center"/>
    </xf>
    <xf numFmtId="0" fontId="12" fillId="3" borderId="0" xfId="3" applyFont="1" applyFill="1" applyAlignment="1">
      <alignment vertical="top" wrapText="1"/>
    </xf>
    <xf numFmtId="164" fontId="2" fillId="3" borderId="0" xfId="0" applyNumberFormat="1" applyFont="1" applyFill="1" applyAlignment="1" applyProtection="1">
      <alignment horizontal="right" vertical="center" indent="1"/>
    </xf>
    <xf numFmtId="0" fontId="0" fillId="3" borderId="0" xfId="0" applyFill="1"/>
    <xf numFmtId="49" fontId="12" fillId="3" borderId="0" xfId="0" applyNumberFormat="1" applyFont="1" applyFill="1" applyAlignment="1">
      <alignment horizontal="right" vertical="center"/>
    </xf>
    <xf numFmtId="0" fontId="12" fillId="3" borderId="0" xfId="1" applyFont="1" applyFill="1" applyBorder="1" applyAlignment="1">
      <alignment wrapText="1"/>
    </xf>
    <xf numFmtId="0" fontId="9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8" fillId="0" borderId="0" xfId="3" applyFont="1" applyAlignment="1">
      <alignment horizontal="center" wrapText="1"/>
    </xf>
    <xf numFmtId="164" fontId="1" fillId="2" borderId="0" xfId="0" applyNumberFormat="1" applyFont="1" applyFill="1" applyAlignment="1">
      <alignment horizontal="right" vertical="center" indent="1"/>
    </xf>
    <xf numFmtId="0" fontId="5" fillId="0" borderId="0" xfId="0" applyFont="1" applyAlignment="1">
      <alignment vertical="center"/>
    </xf>
    <xf numFmtId="0" fontId="9" fillId="0" borderId="3" xfId="3" applyFont="1" applyBorder="1" applyAlignment="1">
      <alignment horizontal="center" vertical="center" wrapText="1"/>
    </xf>
    <xf numFmtId="0" fontId="2" fillId="0" borderId="0" xfId="3" applyFont="1" applyAlignment="1">
      <alignment horizontal="right"/>
    </xf>
    <xf numFmtId="0" fontId="9" fillId="0" borderId="1" xfId="3" applyFont="1" applyBorder="1" applyAlignment="1">
      <alignment horizontal="center" vertical="center" wrapText="1"/>
    </xf>
    <xf numFmtId="0" fontId="9" fillId="3" borderId="0" xfId="0" applyFont="1" applyFill="1"/>
    <xf numFmtId="0" fontId="9" fillId="0" borderId="0" xfId="0" applyFont="1" applyAlignment="1">
      <alignment vertical="top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8" fillId="0" borderId="0" xfId="3" applyNumberFormat="1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8" fillId="0" borderId="0" xfId="3" applyFont="1" applyAlignment="1">
      <alignment horizontal="center" wrapText="1"/>
    </xf>
    <xf numFmtId="49" fontId="8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wrapText="1"/>
    </xf>
  </cellXfs>
  <cellStyles count="4">
    <cellStyle name="Normal_FISRED98" xfId="1"/>
    <cellStyle name="Обычный" xfId="0" builtinId="0"/>
    <cellStyle name="Обычный 2" xfId="3"/>
    <cellStyle name="Обычный_ГБ, РБ, МБ агр.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zoomScaleSheetLayoutView="100" workbookViewId="0">
      <selection activeCell="L12" sqref="L12"/>
    </sheetView>
  </sheetViews>
  <sheetFormatPr defaultRowHeight="12.75"/>
  <cols>
    <col min="1" max="1" width="5.140625" style="55" customWidth="1"/>
    <col min="2" max="2" width="61.28515625" customWidth="1"/>
    <col min="3" max="3" width="16.28515625" customWidth="1"/>
    <col min="4" max="4" width="16.42578125" customWidth="1"/>
    <col min="5" max="5" width="10.42578125" customWidth="1"/>
  </cols>
  <sheetData>
    <row r="1" spans="1:5" ht="15.75">
      <c r="A1" s="87" t="s">
        <v>161</v>
      </c>
      <c r="B1" s="87"/>
      <c r="C1" s="87"/>
      <c r="D1" s="87"/>
    </row>
    <row r="2" spans="1:5" s="56" customFormat="1" ht="15.75">
      <c r="A2" s="92" t="s">
        <v>177</v>
      </c>
      <c r="B2" s="92"/>
      <c r="C2" s="92"/>
      <c r="D2" s="92"/>
    </row>
    <row r="3" spans="1:5" s="56" customFormat="1" ht="15.75">
      <c r="A3" s="57"/>
      <c r="B3" s="57"/>
      <c r="C3" s="57"/>
      <c r="D3" s="57"/>
    </row>
    <row r="4" spans="1:5" s="56" customFormat="1" ht="15.75">
      <c r="A4" s="57"/>
      <c r="B4" s="57"/>
      <c r="C4" s="57"/>
      <c r="D4" s="57"/>
      <c r="E4" s="58" t="s">
        <v>162</v>
      </c>
    </row>
    <row r="5" spans="1:5" ht="12.75" customHeight="1">
      <c r="A5" s="90" t="s">
        <v>0</v>
      </c>
      <c r="B5" s="88" t="s">
        <v>1</v>
      </c>
      <c r="C5" s="88" t="s">
        <v>170</v>
      </c>
      <c r="D5" s="88" t="s">
        <v>65</v>
      </c>
      <c r="E5" s="88" t="s">
        <v>66</v>
      </c>
    </row>
    <row r="6" spans="1:5" s="56" customFormat="1" ht="22.5" customHeight="1">
      <c r="A6" s="91"/>
      <c r="B6" s="89"/>
      <c r="C6" s="89"/>
      <c r="D6" s="89"/>
      <c r="E6" s="89"/>
    </row>
    <row r="7" spans="1:5">
      <c r="A7" s="74" t="s">
        <v>2</v>
      </c>
      <c r="B7" s="2">
        <v>2</v>
      </c>
      <c r="C7" s="3">
        <v>3</v>
      </c>
      <c r="D7" s="3">
        <v>4</v>
      </c>
      <c r="E7" s="3">
        <v>5</v>
      </c>
    </row>
    <row r="8" spans="1:5">
      <c r="A8" s="53"/>
      <c r="B8" s="4" t="s">
        <v>3</v>
      </c>
      <c r="C8" s="8">
        <v>7060736530.5</v>
      </c>
      <c r="D8" s="8">
        <v>4709211452.8702002</v>
      </c>
      <c r="E8" s="59">
        <f>D8*100/C8</f>
        <v>66.695753800301077</v>
      </c>
    </row>
    <row r="9" spans="1:5">
      <c r="A9" s="52"/>
      <c r="B9" s="5" t="s">
        <v>4</v>
      </c>
      <c r="C9" s="10">
        <v>6347339963.6999998</v>
      </c>
      <c r="D9" s="10">
        <v>3809138713.6788001</v>
      </c>
      <c r="E9" s="59">
        <f t="shared" ref="E9:E35" si="0">D9*100/C9</f>
        <v>60.011575486156438</v>
      </c>
    </row>
    <row r="10" spans="1:5">
      <c r="A10" s="50" t="s">
        <v>5</v>
      </c>
      <c r="B10" s="6" t="s">
        <v>6</v>
      </c>
      <c r="C10" s="9">
        <v>6347339963.6999998</v>
      </c>
      <c r="D10" s="9">
        <v>3809138713.6788998</v>
      </c>
      <c r="E10" s="60">
        <f t="shared" si="0"/>
        <v>60.011575486158009</v>
      </c>
    </row>
    <row r="11" spans="1:5">
      <c r="A11" s="48"/>
      <c r="B11" s="5" t="s">
        <v>7</v>
      </c>
      <c r="C11" s="10">
        <v>198524834</v>
      </c>
      <c r="D11" s="10">
        <v>245575694.54069999</v>
      </c>
      <c r="E11" s="59">
        <f t="shared" si="0"/>
        <v>123.70023920569051</v>
      </c>
    </row>
    <row r="12" spans="1:5">
      <c r="A12" s="50" t="s">
        <v>8</v>
      </c>
      <c r="B12" s="6" t="s">
        <v>9</v>
      </c>
      <c r="C12" s="9">
        <v>198524834</v>
      </c>
      <c r="D12" s="9">
        <v>245575694.54069999</v>
      </c>
      <c r="E12" s="60">
        <f t="shared" si="0"/>
        <v>123.70023920569051</v>
      </c>
    </row>
    <row r="13" spans="1:5" ht="13.5" customHeight="1">
      <c r="A13" s="48"/>
      <c r="B13" s="5" t="s">
        <v>10</v>
      </c>
      <c r="C13" s="10">
        <v>68956932.799999997</v>
      </c>
      <c r="D13" s="10">
        <v>34207865.650700003</v>
      </c>
      <c r="E13" s="59">
        <f t="shared" si="0"/>
        <v>49.607580067279329</v>
      </c>
    </row>
    <row r="14" spans="1:5" s="37" customFormat="1">
      <c r="A14" s="50" t="s">
        <v>11</v>
      </c>
      <c r="B14" s="36" t="s">
        <v>12</v>
      </c>
      <c r="C14" s="9">
        <v>68956932.799999997</v>
      </c>
      <c r="D14" s="9">
        <v>34207865.650700003</v>
      </c>
      <c r="E14" s="60">
        <f t="shared" si="0"/>
        <v>49.607580067279329</v>
      </c>
    </row>
    <row r="15" spans="1:5" s="37" customFormat="1">
      <c r="A15" s="50"/>
      <c r="B15" s="5" t="s">
        <v>163</v>
      </c>
      <c r="C15" s="10">
        <v>0</v>
      </c>
      <c r="D15" s="10">
        <v>420834</v>
      </c>
      <c r="E15" s="61"/>
    </row>
    <row r="16" spans="1:5" s="37" customFormat="1">
      <c r="A16" s="50" t="s">
        <v>164</v>
      </c>
      <c r="B16" s="75" t="s">
        <v>165</v>
      </c>
      <c r="C16" s="9">
        <v>0</v>
      </c>
      <c r="D16" s="9">
        <v>420834</v>
      </c>
      <c r="E16" s="60"/>
    </row>
    <row r="17" spans="1:5" ht="12.75" customHeight="1">
      <c r="A17" s="50"/>
      <c r="B17" s="7" t="s">
        <v>61</v>
      </c>
      <c r="C17" s="10">
        <v>445914800</v>
      </c>
      <c r="D17" s="10">
        <v>618330568</v>
      </c>
      <c r="E17" s="59">
        <f t="shared" si="0"/>
        <v>138.66563029529408</v>
      </c>
    </row>
    <row r="18" spans="1:5" s="56" customFormat="1" ht="28.5" customHeight="1">
      <c r="A18" s="50"/>
      <c r="B18" s="7" t="s">
        <v>172</v>
      </c>
      <c r="C18" s="10">
        <v>0</v>
      </c>
      <c r="D18" s="10">
        <v>1537777</v>
      </c>
      <c r="E18" s="59"/>
    </row>
    <row r="19" spans="1:5">
      <c r="A19" s="48"/>
      <c r="B19" s="4" t="s">
        <v>13</v>
      </c>
      <c r="C19" s="8">
        <v>9457262571.3999996</v>
      </c>
      <c r="D19" s="8">
        <v>5060089430.276</v>
      </c>
      <c r="E19" s="59">
        <f t="shared" si="0"/>
        <v>53.50480006316387</v>
      </c>
    </row>
    <row r="20" spans="1:5">
      <c r="A20" s="50" t="s">
        <v>14</v>
      </c>
      <c r="B20" s="6" t="s">
        <v>15</v>
      </c>
      <c r="C20" s="9">
        <v>589812956.5</v>
      </c>
      <c r="D20" s="9">
        <v>328110112.6825</v>
      </c>
      <c r="E20" s="60">
        <f t="shared" si="0"/>
        <v>55.629519336016827</v>
      </c>
    </row>
    <row r="21" spans="1:5">
      <c r="A21" s="50" t="s">
        <v>16</v>
      </c>
      <c r="B21" s="6" t="s">
        <v>17</v>
      </c>
      <c r="C21" s="9">
        <v>416187803.69999999</v>
      </c>
      <c r="D21" s="9">
        <v>227571418.54910001</v>
      </c>
      <c r="E21" s="60">
        <f t="shared" si="0"/>
        <v>54.67998257660139</v>
      </c>
    </row>
    <row r="22" spans="1:5" ht="22.5" customHeight="1">
      <c r="A22" s="50" t="s">
        <v>18</v>
      </c>
      <c r="B22" s="6" t="s">
        <v>19</v>
      </c>
      <c r="C22" s="9">
        <v>569341151</v>
      </c>
      <c r="D22" s="9">
        <v>288771079.56879997</v>
      </c>
      <c r="E22" s="60">
        <f t="shared" si="0"/>
        <v>50.720219162377035</v>
      </c>
    </row>
    <row r="23" spans="1:5">
      <c r="A23" s="50" t="s">
        <v>20</v>
      </c>
      <c r="B23" s="6" t="s">
        <v>21</v>
      </c>
      <c r="C23" s="9">
        <v>1615941333.7</v>
      </c>
      <c r="D23" s="9">
        <v>944898642.70229995</v>
      </c>
      <c r="E23" s="60">
        <f t="shared" si="0"/>
        <v>58.473573452000124</v>
      </c>
    </row>
    <row r="24" spans="1:5">
      <c r="A24" s="50" t="s">
        <v>22</v>
      </c>
      <c r="B24" s="6" t="s">
        <v>23</v>
      </c>
      <c r="C24" s="9">
        <v>1010900033.7</v>
      </c>
      <c r="D24" s="9">
        <v>565236970.00160003</v>
      </c>
      <c r="E24" s="60">
        <f t="shared" si="0"/>
        <v>55.91423000875502</v>
      </c>
    </row>
    <row r="25" spans="1:5">
      <c r="A25" s="50" t="s">
        <v>24</v>
      </c>
      <c r="B25" s="6" t="s">
        <v>25</v>
      </c>
      <c r="C25" s="9">
        <v>2003251305</v>
      </c>
      <c r="D25" s="9">
        <v>1151852479.5146999</v>
      </c>
      <c r="E25" s="60">
        <f t="shared" si="0"/>
        <v>57.499150338239765</v>
      </c>
    </row>
    <row r="26" spans="1:5">
      <c r="A26" s="50" t="s">
        <v>26</v>
      </c>
      <c r="B26" s="6" t="s">
        <v>27</v>
      </c>
      <c r="C26" s="9">
        <v>474841761</v>
      </c>
      <c r="D26" s="9">
        <v>195629042.62369999</v>
      </c>
      <c r="E26" s="60">
        <f t="shared" si="0"/>
        <v>41.198786351839004</v>
      </c>
    </row>
    <row r="27" spans="1:5" ht="12" customHeight="1">
      <c r="A27" s="50" t="s">
        <v>28</v>
      </c>
      <c r="B27" s="6" t="s">
        <v>29</v>
      </c>
      <c r="C27" s="9">
        <v>326634680.80000001</v>
      </c>
      <c r="D27" s="9">
        <v>179495866.06459999</v>
      </c>
      <c r="E27" s="60">
        <f t="shared" si="0"/>
        <v>54.953094884160869</v>
      </c>
    </row>
    <row r="28" spans="1:5">
      <c r="A28" s="50" t="s">
        <v>30</v>
      </c>
      <c r="B28" s="6" t="s">
        <v>31</v>
      </c>
      <c r="C28" s="9">
        <v>89446083.900000006</v>
      </c>
      <c r="D28" s="9">
        <v>51416753.6954</v>
      </c>
      <c r="E28" s="60">
        <f t="shared" si="0"/>
        <v>57.483515715325794</v>
      </c>
    </row>
    <row r="29" spans="1:5" ht="33.75">
      <c r="A29" s="50" t="s">
        <v>32</v>
      </c>
      <c r="B29" s="6" t="s">
        <v>33</v>
      </c>
      <c r="C29" s="9">
        <v>349032162</v>
      </c>
      <c r="D29" s="9">
        <v>139424116.1561</v>
      </c>
      <c r="E29" s="60">
        <f t="shared" si="0"/>
        <v>39.945922277529256</v>
      </c>
    </row>
    <row r="30" spans="1:5" ht="22.5">
      <c r="A30" s="50" t="s">
        <v>34</v>
      </c>
      <c r="B30" s="6" t="s">
        <v>35</v>
      </c>
      <c r="C30" s="9">
        <v>26770000.5</v>
      </c>
      <c r="D30" s="9">
        <v>10861718.4517</v>
      </c>
      <c r="E30" s="60">
        <f t="shared" si="0"/>
        <v>40.574218337052329</v>
      </c>
    </row>
    <row r="31" spans="1:5">
      <c r="A31" s="50" t="s">
        <v>36</v>
      </c>
      <c r="B31" s="6" t="s">
        <v>37</v>
      </c>
      <c r="C31" s="9">
        <v>720311217.20000005</v>
      </c>
      <c r="D31" s="9">
        <v>316557930.13669997</v>
      </c>
      <c r="E31" s="60">
        <f t="shared" si="0"/>
        <v>43.947383100214196</v>
      </c>
    </row>
    <row r="32" spans="1:5">
      <c r="A32" s="50" t="s">
        <v>38</v>
      </c>
      <c r="B32" s="6" t="s">
        <v>39</v>
      </c>
      <c r="C32" s="9">
        <v>664228432.5</v>
      </c>
      <c r="D32" s="9">
        <v>317271816.4066</v>
      </c>
      <c r="E32" s="60">
        <f t="shared" si="0"/>
        <v>47.765467553453455</v>
      </c>
    </row>
    <row r="33" spans="1:5">
      <c r="A33" s="50" t="s">
        <v>40</v>
      </c>
      <c r="B33" s="6" t="s">
        <v>41</v>
      </c>
      <c r="C33" s="9">
        <v>576688728</v>
      </c>
      <c r="D33" s="9">
        <v>327849444.31440002</v>
      </c>
      <c r="E33" s="60">
        <f t="shared" si="0"/>
        <v>56.850329891379467</v>
      </c>
    </row>
    <row r="34" spans="1:5" s="37" customFormat="1">
      <c r="A34" s="50" t="s">
        <v>63</v>
      </c>
      <c r="B34" s="36" t="s">
        <v>64</v>
      </c>
      <c r="C34" s="9">
        <v>10874921.9</v>
      </c>
      <c r="D34" s="9">
        <v>6278902.4078000002</v>
      </c>
      <c r="E34" s="60">
        <f t="shared" si="0"/>
        <v>57.737448282732032</v>
      </c>
    </row>
    <row r="35" spans="1:5" ht="21">
      <c r="A35" s="50"/>
      <c r="B35" s="5" t="s">
        <v>62</v>
      </c>
      <c r="C35" s="10">
        <v>13000000</v>
      </c>
      <c r="D35" s="10">
        <v>8863137</v>
      </c>
      <c r="E35" s="59">
        <f t="shared" si="0"/>
        <v>68.177976923076926</v>
      </c>
    </row>
    <row r="36" spans="1:5">
      <c r="A36" s="48"/>
      <c r="B36" s="4" t="s">
        <v>42</v>
      </c>
      <c r="C36" s="8">
        <v>133775517</v>
      </c>
      <c r="D36" s="8">
        <v>166907944.7755</v>
      </c>
      <c r="E36" s="59"/>
    </row>
    <row r="37" spans="1:5">
      <c r="A37" s="48"/>
      <c r="B37" s="5" t="s">
        <v>43</v>
      </c>
      <c r="C37" s="10">
        <v>207203684</v>
      </c>
      <c r="D37" s="10">
        <v>171047396.5751</v>
      </c>
      <c r="E37" s="61">
        <f t="shared" ref="E37:E43" si="1">D37*100/C37</f>
        <v>82.550364584782187</v>
      </c>
    </row>
    <row r="38" spans="1:5">
      <c r="A38" s="50" t="s">
        <v>24</v>
      </c>
      <c r="B38" s="6" t="s">
        <v>25</v>
      </c>
      <c r="C38" s="9">
        <v>30823827</v>
      </c>
      <c r="D38" s="9">
        <v>24713827</v>
      </c>
      <c r="E38" s="60">
        <f t="shared" si="1"/>
        <v>80.177672292282196</v>
      </c>
    </row>
    <row r="39" spans="1:5">
      <c r="A39" s="50" t="s">
        <v>26</v>
      </c>
      <c r="B39" s="6" t="s">
        <v>27</v>
      </c>
      <c r="C39" s="9">
        <v>92026963</v>
      </c>
      <c r="D39" s="9">
        <v>66348038.226000004</v>
      </c>
      <c r="E39" s="60">
        <f t="shared" si="1"/>
        <v>72.096303151936027</v>
      </c>
    </row>
    <row r="40" spans="1:5" ht="33.75">
      <c r="A40" s="50" t="s">
        <v>32</v>
      </c>
      <c r="B40" s="6" t="s">
        <v>33</v>
      </c>
      <c r="C40" s="9">
        <v>68687164</v>
      </c>
      <c r="D40" s="9">
        <v>65115929.498999998</v>
      </c>
      <c r="E40" s="60">
        <f t="shared" si="1"/>
        <v>94.800725065603231</v>
      </c>
    </row>
    <row r="41" spans="1:5">
      <c r="A41" s="50" t="s">
        <v>38</v>
      </c>
      <c r="B41" s="6" t="s">
        <v>39</v>
      </c>
      <c r="C41" s="9">
        <v>15665730</v>
      </c>
      <c r="D41" s="9">
        <v>14869601.850099999</v>
      </c>
      <c r="E41" s="60">
        <f t="shared" si="1"/>
        <v>94.918027120983197</v>
      </c>
    </row>
    <row r="42" spans="1:5">
      <c r="A42" s="48"/>
      <c r="B42" s="5" t="s">
        <v>44</v>
      </c>
      <c r="C42" s="10">
        <v>73428167</v>
      </c>
      <c r="D42" s="10">
        <v>4139451.7996</v>
      </c>
      <c r="E42" s="61">
        <f t="shared" si="1"/>
        <v>5.6374167689627876</v>
      </c>
    </row>
    <row r="43" spans="1:5">
      <c r="A43" s="50" t="s">
        <v>45</v>
      </c>
      <c r="B43" s="6" t="s">
        <v>46</v>
      </c>
      <c r="C43" s="9">
        <v>73428167</v>
      </c>
      <c r="D43" s="9">
        <v>4139451.7996</v>
      </c>
      <c r="E43" s="62">
        <f t="shared" si="1"/>
        <v>5.6374167689627876</v>
      </c>
    </row>
    <row r="44" spans="1:5" ht="13.5" customHeight="1">
      <c r="A44" s="48"/>
      <c r="B44" s="4" t="s">
        <v>47</v>
      </c>
      <c r="C44" s="8">
        <v>167035812.40000001</v>
      </c>
      <c r="D44" s="8">
        <v>123476880.30430001</v>
      </c>
      <c r="E44" s="59"/>
    </row>
    <row r="45" spans="1:5">
      <c r="A45" s="48"/>
      <c r="B45" s="5" t="s">
        <v>48</v>
      </c>
      <c r="C45" s="10">
        <v>170589621.40000001</v>
      </c>
      <c r="D45" s="10">
        <v>127687126.1349</v>
      </c>
      <c r="E45" s="61">
        <f t="shared" ref="E45:E55" si="2">D45*100/C45</f>
        <v>74.85046574756042</v>
      </c>
    </row>
    <row r="46" spans="1:5">
      <c r="A46" s="50" t="s">
        <v>14</v>
      </c>
      <c r="B46" s="6" t="s">
        <v>15</v>
      </c>
      <c r="C46" s="9">
        <v>13832023</v>
      </c>
      <c r="D46" s="9">
        <v>13735098.6774</v>
      </c>
      <c r="E46" s="60">
        <f t="shared" si="2"/>
        <v>99.299275871649428</v>
      </c>
    </row>
    <row r="47" spans="1:5">
      <c r="A47" s="50" t="s">
        <v>16</v>
      </c>
      <c r="B47" s="6" t="s">
        <v>17</v>
      </c>
      <c r="C47" s="9">
        <v>10377200</v>
      </c>
      <c r="D47" s="9">
        <v>10377200</v>
      </c>
      <c r="E47" s="60">
        <f t="shared" si="2"/>
        <v>100</v>
      </c>
    </row>
    <row r="48" spans="1:5">
      <c r="A48" s="50" t="s">
        <v>20</v>
      </c>
      <c r="B48" s="6" t="s">
        <v>21</v>
      </c>
      <c r="C48" s="9">
        <v>3375686</v>
      </c>
      <c r="D48" s="9">
        <v>3375686</v>
      </c>
      <c r="E48" s="60">
        <f t="shared" si="2"/>
        <v>100</v>
      </c>
    </row>
    <row r="49" spans="1:5" s="56" customFormat="1">
      <c r="A49" s="50" t="s">
        <v>22</v>
      </c>
      <c r="B49" s="6" t="s">
        <v>23</v>
      </c>
      <c r="C49" s="9">
        <v>106050</v>
      </c>
      <c r="D49" s="9">
        <v>0</v>
      </c>
      <c r="E49" s="60">
        <f t="shared" si="2"/>
        <v>0</v>
      </c>
    </row>
    <row r="50" spans="1:5" s="67" customFormat="1">
      <c r="A50" s="64" t="s">
        <v>26</v>
      </c>
      <c r="B50" s="71" t="s">
        <v>27</v>
      </c>
      <c r="C50" s="9">
        <v>10452130</v>
      </c>
      <c r="D50" s="9">
        <v>297734</v>
      </c>
      <c r="E50" s="60">
        <f t="shared" si="2"/>
        <v>2.8485485733529914</v>
      </c>
    </row>
    <row r="51" spans="1:5" s="56" customFormat="1" ht="36.75" customHeight="1">
      <c r="A51" s="50" t="s">
        <v>32</v>
      </c>
      <c r="B51" s="6" t="s">
        <v>33</v>
      </c>
      <c r="C51" s="9">
        <v>25000000</v>
      </c>
      <c r="D51" s="9">
        <v>19430000</v>
      </c>
      <c r="E51" s="60">
        <f t="shared" si="2"/>
        <v>77.72</v>
      </c>
    </row>
    <row r="52" spans="1:5">
      <c r="A52" s="50" t="s">
        <v>36</v>
      </c>
      <c r="B52" s="6" t="s">
        <v>37</v>
      </c>
      <c r="C52" s="9">
        <v>21707344</v>
      </c>
      <c r="D52" s="9">
        <v>19297072</v>
      </c>
      <c r="E52" s="60">
        <f t="shared" si="2"/>
        <v>88.896513548594427</v>
      </c>
    </row>
    <row r="53" spans="1:5">
      <c r="A53" s="50" t="s">
        <v>38</v>
      </c>
      <c r="B53" s="6" t="s">
        <v>39</v>
      </c>
      <c r="C53" s="9">
        <v>85739188.400000006</v>
      </c>
      <c r="D53" s="9">
        <v>61174335.457500003</v>
      </c>
      <c r="E53" s="60">
        <f t="shared" si="2"/>
        <v>71.349328818116035</v>
      </c>
    </row>
    <row r="54" spans="1:5" ht="15" customHeight="1">
      <c r="A54" s="48"/>
      <c r="B54" s="5" t="s">
        <v>49</v>
      </c>
      <c r="C54" s="10">
        <v>3553809</v>
      </c>
      <c r="D54" s="10">
        <v>4210245.8306</v>
      </c>
      <c r="E54" s="59">
        <f t="shared" si="2"/>
        <v>118.47135933867014</v>
      </c>
    </row>
    <row r="55" spans="1:5" ht="13.5" customHeight="1">
      <c r="A55" s="50" t="s">
        <v>50</v>
      </c>
      <c r="B55" s="6" t="s">
        <v>51</v>
      </c>
      <c r="C55" s="9">
        <v>3553809</v>
      </c>
      <c r="D55" s="9">
        <v>4210245.8306200001</v>
      </c>
      <c r="E55" s="60">
        <f t="shared" si="2"/>
        <v>118.47135933923293</v>
      </c>
    </row>
    <row r="56" spans="1:5">
      <c r="A56" s="48"/>
      <c r="B56" s="4" t="s">
        <v>52</v>
      </c>
      <c r="C56" s="8">
        <v>-2697337370.2999997</v>
      </c>
      <c r="D56" s="8">
        <v>-641262802.48559988</v>
      </c>
      <c r="E56" s="59"/>
    </row>
    <row r="57" spans="1:5" ht="24">
      <c r="A57" s="48"/>
      <c r="B57" s="4" t="s">
        <v>53</v>
      </c>
      <c r="C57" s="8">
        <v>2697337370.2999997</v>
      </c>
      <c r="D57" s="8">
        <v>641262802.48559988</v>
      </c>
      <c r="E57" s="59"/>
    </row>
    <row r="58" spans="1:5">
      <c r="A58" s="48"/>
      <c r="B58" s="5" t="s">
        <v>54</v>
      </c>
      <c r="C58" s="10">
        <v>1144417293</v>
      </c>
      <c r="D58" s="10">
        <v>593369135.5</v>
      </c>
      <c r="E58" s="61">
        <f>D58*100/C58</f>
        <v>51.849018634149566</v>
      </c>
    </row>
    <row r="59" spans="1:5">
      <c r="A59" s="50" t="s">
        <v>55</v>
      </c>
      <c r="B59" s="6" t="s">
        <v>56</v>
      </c>
      <c r="C59" s="9">
        <v>1144417293</v>
      </c>
      <c r="D59" s="9">
        <v>593369135.5</v>
      </c>
      <c r="E59" s="60">
        <f>D59*100/C59</f>
        <v>51.849018634149566</v>
      </c>
    </row>
    <row r="60" spans="1:5">
      <c r="A60" s="48"/>
      <c r="B60" s="5" t="s">
        <v>57</v>
      </c>
      <c r="C60" s="10">
        <v>392519919</v>
      </c>
      <c r="D60" s="10">
        <v>225954354.96059999</v>
      </c>
      <c r="E60" s="61">
        <f>D60*100/C60</f>
        <v>57.565067152834089</v>
      </c>
    </row>
    <row r="61" spans="1:5">
      <c r="A61" s="50" t="s">
        <v>58</v>
      </c>
      <c r="B61" s="6" t="s">
        <v>59</v>
      </c>
      <c r="C61" s="9">
        <v>392519919</v>
      </c>
      <c r="D61" s="9">
        <v>225954354.96059999</v>
      </c>
      <c r="E61" s="60">
        <f>D61*100/C61</f>
        <v>57.565067152834089</v>
      </c>
    </row>
    <row r="62" spans="1:5">
      <c r="A62" s="52"/>
      <c r="B62" s="5" t="s">
        <v>60</v>
      </c>
      <c r="C62" s="8">
        <v>1945439996.2999997</v>
      </c>
      <c r="D62" s="8">
        <v>273848021.94619989</v>
      </c>
      <c r="E62" s="63"/>
    </row>
    <row r="63" spans="1:5">
      <c r="A63" s="54"/>
      <c r="B63" s="1"/>
      <c r="C63" s="10"/>
      <c r="D63" s="10"/>
      <c r="E63" s="79"/>
    </row>
    <row r="64" spans="1:5">
      <c r="C64" s="10"/>
      <c r="D64" s="10"/>
      <c r="E64" s="79"/>
    </row>
    <row r="65" spans="3:5">
      <c r="C65" s="80"/>
      <c r="D65" s="10"/>
      <c r="E65" s="79"/>
    </row>
  </sheetData>
  <mergeCells count="7">
    <mergeCell ref="A1:D1"/>
    <mergeCell ref="E5:E6"/>
    <mergeCell ref="D5:D6"/>
    <mergeCell ref="C5:C6"/>
    <mergeCell ref="B5:B6"/>
    <mergeCell ref="A5:A6"/>
    <mergeCell ref="A2:D2"/>
  </mergeCells>
  <pageMargins left="0.31496062992125984" right="0.19685039370078741" top="0.15748031496062992" bottom="0.15748031496062992" header="0.31496062992125984" footer="0.31496062992125984"/>
  <pageSetup paperSize="0" scale="84" orientation="portrait" r:id="rId1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>
      <selection activeCell="J8" sqref="J8"/>
    </sheetView>
  </sheetViews>
  <sheetFormatPr defaultRowHeight="12.75"/>
  <cols>
    <col min="1" max="1" width="6" style="11" customWidth="1"/>
    <col min="2" max="2" width="66.140625" style="85" customWidth="1"/>
    <col min="3" max="3" width="18.140625" style="11" customWidth="1"/>
    <col min="4" max="4" width="16.5703125" style="11" customWidth="1"/>
    <col min="5" max="5" width="10.140625" style="11" customWidth="1"/>
    <col min="6" max="16384" width="9.140625" style="11"/>
  </cols>
  <sheetData>
    <row r="1" spans="1:6" ht="15.75">
      <c r="A1" s="93" t="s">
        <v>175</v>
      </c>
      <c r="B1" s="93"/>
      <c r="C1" s="93"/>
      <c r="D1" s="93"/>
      <c r="E1" s="94"/>
    </row>
    <row r="2" spans="1:6" ht="15.75">
      <c r="A2" s="95" t="s">
        <v>114</v>
      </c>
      <c r="B2" s="95"/>
      <c r="C2" s="95"/>
      <c r="D2" s="95"/>
      <c r="E2" s="94"/>
    </row>
    <row r="3" spans="1:6" ht="15.75">
      <c r="A3" s="78"/>
      <c r="B3" s="38"/>
      <c r="C3" s="78"/>
      <c r="D3" s="78"/>
      <c r="E3" s="78"/>
    </row>
    <row r="4" spans="1:6">
      <c r="A4" s="39"/>
      <c r="B4" s="40"/>
      <c r="C4" s="41"/>
      <c r="D4" s="42"/>
      <c r="E4" s="82" t="s">
        <v>115</v>
      </c>
    </row>
    <row r="5" spans="1:6" ht="29.25" customHeight="1">
      <c r="A5" s="43" t="s">
        <v>116</v>
      </c>
      <c r="B5" s="83" t="s">
        <v>117</v>
      </c>
      <c r="C5" s="81" t="s">
        <v>118</v>
      </c>
      <c r="D5" s="83" t="s">
        <v>119</v>
      </c>
      <c r="E5" s="83" t="s">
        <v>120</v>
      </c>
    </row>
    <row r="6" spans="1:6">
      <c r="A6" s="44" t="s">
        <v>2</v>
      </c>
      <c r="B6" s="45">
        <v>2</v>
      </c>
      <c r="C6" s="46">
        <v>3</v>
      </c>
      <c r="D6" s="47">
        <v>4</v>
      </c>
      <c r="E6" s="47">
        <v>5</v>
      </c>
    </row>
    <row r="7" spans="1:6">
      <c r="A7" s="48"/>
      <c r="B7" s="49" t="s">
        <v>121</v>
      </c>
      <c r="C7" s="8">
        <v>7060736530.5</v>
      </c>
      <c r="D7" s="8">
        <v>4709211452.8702002</v>
      </c>
      <c r="E7" s="59">
        <f>D7*100/C7</f>
        <v>66.695753800301077</v>
      </c>
      <c r="F7" s="59"/>
    </row>
    <row r="8" spans="1:6">
      <c r="A8" s="48"/>
      <c r="B8" s="49" t="s">
        <v>122</v>
      </c>
      <c r="C8" s="10">
        <v>6347339963.6999998</v>
      </c>
      <c r="D8" s="10">
        <v>3809138713.6788001</v>
      </c>
      <c r="E8" s="59">
        <f t="shared" ref="E8:E34" si="0">D8*100/C8</f>
        <v>60.011575486156438</v>
      </c>
      <c r="F8" s="59"/>
    </row>
    <row r="9" spans="1:6">
      <c r="A9" s="50" t="s">
        <v>5</v>
      </c>
      <c r="B9" s="51" t="s">
        <v>123</v>
      </c>
      <c r="C9" s="9">
        <v>6347339963.6999998</v>
      </c>
      <c r="D9" s="9">
        <v>3809138713.6788998</v>
      </c>
      <c r="E9" s="60">
        <f t="shared" si="0"/>
        <v>60.011575486158009</v>
      </c>
      <c r="F9" s="60"/>
    </row>
    <row r="10" spans="1:6">
      <c r="A10" s="48"/>
      <c r="B10" s="49" t="s">
        <v>124</v>
      </c>
      <c r="C10" s="10">
        <v>198524834</v>
      </c>
      <c r="D10" s="10">
        <v>245575694.54069999</v>
      </c>
      <c r="E10" s="59">
        <f t="shared" si="0"/>
        <v>123.70023920569051</v>
      </c>
      <c r="F10" s="59"/>
    </row>
    <row r="11" spans="1:6">
      <c r="A11" s="50" t="s">
        <v>8</v>
      </c>
      <c r="B11" s="51" t="s">
        <v>125</v>
      </c>
      <c r="C11" s="9">
        <v>198524834</v>
      </c>
      <c r="D11" s="9">
        <v>245575694.54069999</v>
      </c>
      <c r="E11" s="60">
        <f t="shared" si="0"/>
        <v>123.70023920569051</v>
      </c>
      <c r="F11" s="60"/>
    </row>
    <row r="12" spans="1:6">
      <c r="A12" s="48"/>
      <c r="B12" s="49" t="s">
        <v>126</v>
      </c>
      <c r="C12" s="10">
        <v>68956932.799999997</v>
      </c>
      <c r="D12" s="10">
        <v>34207865.650700003</v>
      </c>
      <c r="E12" s="59">
        <f t="shared" si="0"/>
        <v>49.607580067279329</v>
      </c>
      <c r="F12" s="59"/>
    </row>
    <row r="13" spans="1:6">
      <c r="A13" s="50" t="s">
        <v>11</v>
      </c>
      <c r="B13" s="51" t="s">
        <v>127</v>
      </c>
      <c r="C13" s="9">
        <v>68956932.799999997</v>
      </c>
      <c r="D13" s="9">
        <v>34207865.650700003</v>
      </c>
      <c r="E13" s="60">
        <f t="shared" si="0"/>
        <v>49.607580067279329</v>
      </c>
      <c r="F13" s="60"/>
    </row>
    <row r="14" spans="1:6">
      <c r="A14" s="50"/>
      <c r="B14" s="49" t="s">
        <v>168</v>
      </c>
      <c r="C14" s="10">
        <v>0</v>
      </c>
      <c r="D14" s="10">
        <v>420834</v>
      </c>
      <c r="E14" s="61"/>
      <c r="F14" s="59"/>
    </row>
    <row r="15" spans="1:6">
      <c r="A15" s="50" t="s">
        <v>164</v>
      </c>
      <c r="B15" s="51" t="s">
        <v>169</v>
      </c>
      <c r="C15" s="9">
        <v>0</v>
      </c>
      <c r="D15" s="9">
        <v>420834</v>
      </c>
      <c r="E15" s="60"/>
      <c r="F15" s="59"/>
    </row>
    <row r="16" spans="1:6">
      <c r="A16" s="50"/>
      <c r="B16" s="49" t="s">
        <v>128</v>
      </c>
      <c r="C16" s="10">
        <v>445914800</v>
      </c>
      <c r="D16" s="10">
        <v>618330568</v>
      </c>
      <c r="E16" s="59">
        <f t="shared" si="0"/>
        <v>138.66563029529408</v>
      </c>
      <c r="F16" s="59"/>
    </row>
    <row r="17" spans="1:6" ht="25.5">
      <c r="A17" s="50"/>
      <c r="B17" s="49" t="s">
        <v>174</v>
      </c>
      <c r="C17" s="10">
        <v>0</v>
      </c>
      <c r="D17" s="10">
        <v>1537777</v>
      </c>
      <c r="E17" s="59"/>
      <c r="F17" s="59"/>
    </row>
    <row r="18" spans="1:6">
      <c r="A18" s="48"/>
      <c r="B18" s="49" t="s">
        <v>129</v>
      </c>
      <c r="C18" s="8">
        <v>9457262571.3999996</v>
      </c>
      <c r="D18" s="8">
        <v>5060089430.276</v>
      </c>
      <c r="E18" s="59">
        <f t="shared" si="0"/>
        <v>53.50480006316387</v>
      </c>
      <c r="F18" s="59"/>
    </row>
    <row r="19" spans="1:6">
      <c r="A19" s="50" t="s">
        <v>14</v>
      </c>
      <c r="B19" s="51" t="s">
        <v>130</v>
      </c>
      <c r="C19" s="9">
        <v>589812956.5</v>
      </c>
      <c r="D19" s="9">
        <v>328110112.6825</v>
      </c>
      <c r="E19" s="60">
        <f t="shared" si="0"/>
        <v>55.629519336016827</v>
      </c>
      <c r="F19" s="60"/>
    </row>
    <row r="20" spans="1:6">
      <c r="A20" s="50" t="s">
        <v>16</v>
      </c>
      <c r="B20" s="51" t="s">
        <v>131</v>
      </c>
      <c r="C20" s="9">
        <v>416187803.69999999</v>
      </c>
      <c r="D20" s="9">
        <v>227571418.54910001</v>
      </c>
      <c r="E20" s="60">
        <f t="shared" si="0"/>
        <v>54.67998257660139</v>
      </c>
      <c r="F20" s="60"/>
    </row>
    <row r="21" spans="1:6">
      <c r="A21" s="50" t="s">
        <v>18</v>
      </c>
      <c r="B21" s="51" t="s">
        <v>132</v>
      </c>
      <c r="C21" s="9">
        <v>569341151</v>
      </c>
      <c r="D21" s="9">
        <v>288771079.56879997</v>
      </c>
      <c r="E21" s="60">
        <f t="shared" si="0"/>
        <v>50.720219162377035</v>
      </c>
      <c r="F21" s="60"/>
    </row>
    <row r="22" spans="1:6">
      <c r="A22" s="50" t="s">
        <v>20</v>
      </c>
      <c r="B22" s="51" t="s">
        <v>133</v>
      </c>
      <c r="C22" s="9">
        <v>1615941333.7</v>
      </c>
      <c r="D22" s="9">
        <v>944898642.70229995</v>
      </c>
      <c r="E22" s="60">
        <f t="shared" si="0"/>
        <v>58.473573452000124</v>
      </c>
      <c r="F22" s="60"/>
    </row>
    <row r="23" spans="1:6">
      <c r="A23" s="50" t="s">
        <v>22</v>
      </c>
      <c r="B23" s="51" t="s">
        <v>134</v>
      </c>
      <c r="C23" s="9">
        <v>1010900033.7</v>
      </c>
      <c r="D23" s="9">
        <v>565236970.00160003</v>
      </c>
      <c r="E23" s="60">
        <f t="shared" si="0"/>
        <v>55.91423000875502</v>
      </c>
      <c r="F23" s="60"/>
    </row>
    <row r="24" spans="1:6">
      <c r="A24" s="50" t="s">
        <v>24</v>
      </c>
      <c r="B24" s="51" t="s">
        <v>135</v>
      </c>
      <c r="C24" s="9">
        <v>2003251305</v>
      </c>
      <c r="D24" s="9">
        <v>1151852479.5146999</v>
      </c>
      <c r="E24" s="60">
        <f t="shared" si="0"/>
        <v>57.499150338239765</v>
      </c>
      <c r="F24" s="60"/>
    </row>
    <row r="25" spans="1:6">
      <c r="A25" s="50" t="s">
        <v>26</v>
      </c>
      <c r="B25" s="51" t="s">
        <v>136</v>
      </c>
      <c r="C25" s="9">
        <v>474841761</v>
      </c>
      <c r="D25" s="9">
        <v>195629042.62369999</v>
      </c>
      <c r="E25" s="60">
        <f t="shared" si="0"/>
        <v>41.198786351839004</v>
      </c>
      <c r="F25" s="60"/>
    </row>
    <row r="26" spans="1:6">
      <c r="A26" s="50" t="s">
        <v>28</v>
      </c>
      <c r="B26" s="51" t="s">
        <v>137</v>
      </c>
      <c r="C26" s="9">
        <v>326634680.80000001</v>
      </c>
      <c r="D26" s="9">
        <v>179495866.06459999</v>
      </c>
      <c r="E26" s="60">
        <f t="shared" si="0"/>
        <v>54.953094884160869</v>
      </c>
      <c r="F26" s="60"/>
    </row>
    <row r="27" spans="1:6">
      <c r="A27" s="50" t="s">
        <v>30</v>
      </c>
      <c r="B27" s="51" t="s">
        <v>138</v>
      </c>
      <c r="C27" s="9">
        <v>89446083.900000006</v>
      </c>
      <c r="D27" s="9">
        <v>51416753.6954</v>
      </c>
      <c r="E27" s="60">
        <f t="shared" si="0"/>
        <v>57.483515715325794</v>
      </c>
      <c r="F27" s="60"/>
    </row>
    <row r="28" spans="1:6" ht="38.25">
      <c r="A28" s="50" t="s">
        <v>32</v>
      </c>
      <c r="B28" s="51" t="s">
        <v>139</v>
      </c>
      <c r="C28" s="9">
        <v>349032162</v>
      </c>
      <c r="D28" s="9">
        <v>139424116.1561</v>
      </c>
      <c r="E28" s="60">
        <f t="shared" si="0"/>
        <v>39.945922277529256</v>
      </c>
      <c r="F28" s="60"/>
    </row>
    <row r="29" spans="1:6">
      <c r="A29" s="50" t="s">
        <v>34</v>
      </c>
      <c r="B29" s="51" t="s">
        <v>140</v>
      </c>
      <c r="C29" s="9">
        <v>26770000.5</v>
      </c>
      <c r="D29" s="9">
        <v>10861718.4517</v>
      </c>
      <c r="E29" s="60">
        <f t="shared" si="0"/>
        <v>40.574218337052329</v>
      </c>
      <c r="F29" s="60"/>
    </row>
    <row r="30" spans="1:6">
      <c r="A30" s="50" t="s">
        <v>36</v>
      </c>
      <c r="B30" s="51" t="s">
        <v>141</v>
      </c>
      <c r="C30" s="9">
        <v>720311217.20000005</v>
      </c>
      <c r="D30" s="9">
        <v>316557930.13669997</v>
      </c>
      <c r="E30" s="60">
        <f t="shared" si="0"/>
        <v>43.947383100214196</v>
      </c>
      <c r="F30" s="60"/>
    </row>
    <row r="31" spans="1:6">
      <c r="A31" s="50" t="s">
        <v>38</v>
      </c>
      <c r="B31" s="51" t="s">
        <v>142</v>
      </c>
      <c r="C31" s="9">
        <v>664228432.5</v>
      </c>
      <c r="D31" s="9">
        <v>317271816.4066</v>
      </c>
      <c r="E31" s="60">
        <f t="shared" si="0"/>
        <v>47.765467553453455</v>
      </c>
      <c r="F31" s="60"/>
    </row>
    <row r="32" spans="1:6">
      <c r="A32" s="50" t="s">
        <v>40</v>
      </c>
      <c r="B32" s="51" t="s">
        <v>143</v>
      </c>
      <c r="C32" s="9">
        <v>576688728</v>
      </c>
      <c r="D32" s="9">
        <v>327849444.31440002</v>
      </c>
      <c r="E32" s="60">
        <f t="shared" si="0"/>
        <v>56.850329891379467</v>
      </c>
      <c r="F32" s="60"/>
    </row>
    <row r="33" spans="1:6">
      <c r="A33" s="50" t="s">
        <v>63</v>
      </c>
      <c r="B33" s="51" t="s">
        <v>144</v>
      </c>
      <c r="C33" s="9">
        <v>10874921.9</v>
      </c>
      <c r="D33" s="9">
        <v>6278902.4078000002</v>
      </c>
      <c r="E33" s="60">
        <f t="shared" si="0"/>
        <v>57.737448282732032</v>
      </c>
      <c r="F33" s="60"/>
    </row>
    <row r="34" spans="1:6" ht="25.5">
      <c r="A34" s="50"/>
      <c r="B34" s="49" t="s">
        <v>145</v>
      </c>
      <c r="C34" s="10">
        <v>13000000</v>
      </c>
      <c r="D34" s="10">
        <v>8863137</v>
      </c>
      <c r="E34" s="59">
        <f t="shared" si="0"/>
        <v>68.177976923076926</v>
      </c>
      <c r="F34" s="59"/>
    </row>
    <row r="35" spans="1:6">
      <c r="A35" s="48"/>
      <c r="B35" s="49" t="s">
        <v>146</v>
      </c>
      <c r="C35" s="8">
        <v>133775517</v>
      </c>
      <c r="D35" s="8">
        <v>166907944.7755</v>
      </c>
      <c r="E35" s="59"/>
      <c r="F35" s="59"/>
    </row>
    <row r="36" spans="1:6">
      <c r="A36" s="48"/>
      <c r="B36" s="49" t="s">
        <v>147</v>
      </c>
      <c r="C36" s="10">
        <v>207203684</v>
      </c>
      <c r="D36" s="10">
        <v>171047396.5751</v>
      </c>
      <c r="E36" s="61">
        <f t="shared" ref="E36:E42" si="1">D36*100/C36</f>
        <v>82.550364584782187</v>
      </c>
      <c r="F36" s="61"/>
    </row>
    <row r="37" spans="1:6">
      <c r="A37" s="50" t="s">
        <v>24</v>
      </c>
      <c r="B37" s="51" t="s">
        <v>135</v>
      </c>
      <c r="C37" s="9">
        <v>30823827</v>
      </c>
      <c r="D37" s="9">
        <v>24713827</v>
      </c>
      <c r="E37" s="60">
        <f t="shared" si="1"/>
        <v>80.177672292282196</v>
      </c>
      <c r="F37" s="60"/>
    </row>
    <row r="38" spans="1:6">
      <c r="A38" s="50" t="s">
        <v>26</v>
      </c>
      <c r="B38" s="51" t="s">
        <v>136</v>
      </c>
      <c r="C38" s="9">
        <v>92026963</v>
      </c>
      <c r="D38" s="9">
        <v>66348038.226000004</v>
      </c>
      <c r="E38" s="60">
        <f t="shared" si="1"/>
        <v>72.096303151936027</v>
      </c>
      <c r="F38" s="60"/>
    </row>
    <row r="39" spans="1:6" ht="38.25">
      <c r="A39" s="50" t="s">
        <v>32</v>
      </c>
      <c r="B39" s="51" t="s">
        <v>139</v>
      </c>
      <c r="C39" s="9">
        <v>68687164</v>
      </c>
      <c r="D39" s="9">
        <v>65115929.498999998</v>
      </c>
      <c r="E39" s="60">
        <f t="shared" si="1"/>
        <v>94.800725065603231</v>
      </c>
      <c r="F39" s="60"/>
    </row>
    <row r="40" spans="1:6">
      <c r="A40" s="50" t="s">
        <v>38</v>
      </c>
      <c r="B40" s="51" t="s">
        <v>142</v>
      </c>
      <c r="C40" s="9">
        <v>15665730</v>
      </c>
      <c r="D40" s="9">
        <v>14869601.850099999</v>
      </c>
      <c r="E40" s="60">
        <f t="shared" si="1"/>
        <v>94.918027120983197</v>
      </c>
      <c r="F40" s="60"/>
    </row>
    <row r="41" spans="1:6">
      <c r="A41" s="48"/>
      <c r="B41" s="49" t="s">
        <v>148</v>
      </c>
      <c r="C41" s="10">
        <v>73428167</v>
      </c>
      <c r="D41" s="10">
        <v>4139451.7996</v>
      </c>
      <c r="E41" s="61">
        <f t="shared" si="1"/>
        <v>5.6374167689627876</v>
      </c>
      <c r="F41" s="61"/>
    </row>
    <row r="42" spans="1:6">
      <c r="A42" s="50" t="s">
        <v>45</v>
      </c>
      <c r="B42" s="51" t="s">
        <v>149</v>
      </c>
      <c r="C42" s="9">
        <v>73428167</v>
      </c>
      <c r="D42" s="9">
        <v>4139451.7996</v>
      </c>
      <c r="E42" s="62">
        <f t="shared" si="1"/>
        <v>5.6374167689627876</v>
      </c>
      <c r="F42" s="62"/>
    </row>
    <row r="43" spans="1:6" ht="25.5">
      <c r="A43" s="48"/>
      <c r="B43" s="49" t="s">
        <v>150</v>
      </c>
      <c r="C43" s="8">
        <v>167035812.40000001</v>
      </c>
      <c r="D43" s="8">
        <v>123476880.30430001</v>
      </c>
      <c r="E43" s="59"/>
      <c r="F43" s="59"/>
    </row>
    <row r="44" spans="1:6">
      <c r="A44" s="48"/>
      <c r="B44" s="49" t="s">
        <v>151</v>
      </c>
      <c r="C44" s="10">
        <v>170589621.40000001</v>
      </c>
      <c r="D44" s="10">
        <v>127687126.1349</v>
      </c>
      <c r="E44" s="61">
        <f t="shared" ref="E44:E54" si="2">D44*100/C44</f>
        <v>74.85046574756042</v>
      </c>
      <c r="F44" s="61"/>
    </row>
    <row r="45" spans="1:6">
      <c r="A45" s="50" t="s">
        <v>14</v>
      </c>
      <c r="B45" s="51" t="s">
        <v>130</v>
      </c>
      <c r="C45" s="9">
        <v>13832023</v>
      </c>
      <c r="D45" s="9">
        <v>13735098.6774</v>
      </c>
      <c r="E45" s="60">
        <f t="shared" si="2"/>
        <v>99.299275871649428</v>
      </c>
      <c r="F45" s="60"/>
    </row>
    <row r="46" spans="1:6">
      <c r="A46" s="50" t="s">
        <v>16</v>
      </c>
      <c r="B46" s="51" t="s">
        <v>131</v>
      </c>
      <c r="C46" s="9">
        <v>10377200</v>
      </c>
      <c r="D46" s="9">
        <v>10377200</v>
      </c>
      <c r="E46" s="60">
        <f t="shared" si="2"/>
        <v>100</v>
      </c>
      <c r="F46" s="60"/>
    </row>
    <row r="47" spans="1:6">
      <c r="A47" s="50" t="s">
        <v>20</v>
      </c>
      <c r="B47" s="51" t="s">
        <v>133</v>
      </c>
      <c r="C47" s="9">
        <v>3375686</v>
      </c>
      <c r="D47" s="9">
        <v>3375686</v>
      </c>
      <c r="E47" s="60">
        <f t="shared" si="2"/>
        <v>100</v>
      </c>
      <c r="F47" s="60"/>
    </row>
    <row r="48" spans="1:6">
      <c r="A48" s="50" t="s">
        <v>22</v>
      </c>
      <c r="B48" s="51" t="s">
        <v>134</v>
      </c>
      <c r="C48" s="9">
        <v>106050</v>
      </c>
      <c r="D48" s="9">
        <v>0</v>
      </c>
      <c r="E48" s="60">
        <f t="shared" si="2"/>
        <v>0</v>
      </c>
      <c r="F48" s="60"/>
    </row>
    <row r="49" spans="1:6" s="84" customFormat="1">
      <c r="A49" s="64" t="s">
        <v>26</v>
      </c>
      <c r="B49" s="65" t="s">
        <v>136</v>
      </c>
      <c r="C49" s="9">
        <v>10452130</v>
      </c>
      <c r="D49" s="9">
        <v>297734</v>
      </c>
      <c r="E49" s="60">
        <f t="shared" si="2"/>
        <v>2.8485485733529914</v>
      </c>
      <c r="F49" s="66"/>
    </row>
    <row r="50" spans="1:6" s="84" customFormat="1" ht="38.25">
      <c r="A50" s="50" t="s">
        <v>32</v>
      </c>
      <c r="B50" s="51" t="s">
        <v>139</v>
      </c>
      <c r="C50" s="9">
        <v>25000000</v>
      </c>
      <c r="D50" s="9">
        <v>19430000</v>
      </c>
      <c r="E50" s="60">
        <f t="shared" si="2"/>
        <v>77.72</v>
      </c>
      <c r="F50" s="66"/>
    </row>
    <row r="51" spans="1:6">
      <c r="A51" s="50" t="s">
        <v>36</v>
      </c>
      <c r="B51" s="51" t="s">
        <v>141</v>
      </c>
      <c r="C51" s="9">
        <v>21707344</v>
      </c>
      <c r="D51" s="9">
        <v>19297072</v>
      </c>
      <c r="E51" s="60">
        <f t="shared" si="2"/>
        <v>88.896513548594427</v>
      </c>
      <c r="F51" s="60"/>
    </row>
    <row r="52" spans="1:6">
      <c r="A52" s="50" t="s">
        <v>38</v>
      </c>
      <c r="B52" s="51" t="s">
        <v>142</v>
      </c>
      <c r="C52" s="9">
        <v>85739188.400000006</v>
      </c>
      <c r="D52" s="9">
        <v>61174335.457500003</v>
      </c>
      <c r="E52" s="60">
        <f t="shared" si="2"/>
        <v>71.349328818116035</v>
      </c>
      <c r="F52" s="60"/>
    </row>
    <row r="53" spans="1:6">
      <c r="A53" s="48"/>
      <c r="B53" s="49" t="s">
        <v>152</v>
      </c>
      <c r="C53" s="10">
        <v>3553809</v>
      </c>
      <c r="D53" s="10">
        <v>4210245.8306</v>
      </c>
      <c r="E53" s="59">
        <f t="shared" si="2"/>
        <v>118.47135933867014</v>
      </c>
      <c r="F53" s="59"/>
    </row>
    <row r="54" spans="1:6">
      <c r="A54" s="50" t="s">
        <v>50</v>
      </c>
      <c r="B54" s="51" t="s">
        <v>153</v>
      </c>
      <c r="C54" s="9">
        <v>3553809</v>
      </c>
      <c r="D54" s="9">
        <v>4210245.8306200001</v>
      </c>
      <c r="E54" s="60">
        <f t="shared" si="2"/>
        <v>118.47135933923293</v>
      </c>
      <c r="F54" s="60"/>
    </row>
    <row r="55" spans="1:6">
      <c r="A55" s="48"/>
      <c r="B55" s="49" t="s">
        <v>154</v>
      </c>
      <c r="C55" s="8">
        <v>-2697337370.2999997</v>
      </c>
      <c r="D55" s="8">
        <v>-641262802.48559988</v>
      </c>
      <c r="E55" s="59"/>
      <c r="F55" s="59"/>
    </row>
    <row r="56" spans="1:6" ht="25.5">
      <c r="A56" s="48"/>
      <c r="B56" s="49" t="s">
        <v>155</v>
      </c>
      <c r="C56" s="8">
        <v>2697337370.2999997</v>
      </c>
      <c r="D56" s="8">
        <v>641262802.48559988</v>
      </c>
      <c r="E56" s="59"/>
      <c r="F56" s="59"/>
    </row>
    <row r="57" spans="1:6">
      <c r="A57" s="48"/>
      <c r="B57" s="49" t="s">
        <v>156</v>
      </c>
      <c r="C57" s="10">
        <v>1144417293</v>
      </c>
      <c r="D57" s="10">
        <v>593369135.5</v>
      </c>
      <c r="E57" s="61">
        <f>D57*100/C57</f>
        <v>51.849018634149566</v>
      </c>
      <c r="F57" s="61"/>
    </row>
    <row r="58" spans="1:6">
      <c r="A58" s="50" t="s">
        <v>55</v>
      </c>
      <c r="B58" s="51" t="s">
        <v>157</v>
      </c>
      <c r="C58" s="9">
        <v>1144417293</v>
      </c>
      <c r="D58" s="9">
        <v>593369135.5</v>
      </c>
      <c r="E58" s="60">
        <f>D58*100/C58</f>
        <v>51.849018634149566</v>
      </c>
      <c r="F58" s="60"/>
    </row>
    <row r="59" spans="1:6">
      <c r="A59" s="48"/>
      <c r="B59" s="49" t="s">
        <v>158</v>
      </c>
      <c r="C59" s="10">
        <v>392519919</v>
      </c>
      <c r="D59" s="10">
        <v>225954354.96059999</v>
      </c>
      <c r="E59" s="61">
        <f>D59*100/C59</f>
        <v>57.565067152834089</v>
      </c>
      <c r="F59" s="61"/>
    </row>
    <row r="60" spans="1:6">
      <c r="A60" s="50" t="s">
        <v>58</v>
      </c>
      <c r="B60" s="51" t="s">
        <v>159</v>
      </c>
      <c r="C60" s="9">
        <v>392519919</v>
      </c>
      <c r="D60" s="9">
        <v>225954354.96059999</v>
      </c>
      <c r="E60" s="60">
        <f>D60*100/C60</f>
        <v>57.565067152834089</v>
      </c>
      <c r="F60" s="60"/>
    </row>
    <row r="61" spans="1:6" ht="13.5" customHeight="1">
      <c r="A61" s="48"/>
      <c r="B61" s="49" t="s">
        <v>160</v>
      </c>
      <c r="C61" s="8">
        <v>1945439996.2999997</v>
      </c>
      <c r="D61" s="8">
        <v>273848021.94619989</v>
      </c>
      <c r="E61" s="63"/>
      <c r="F61" s="63"/>
    </row>
    <row r="62" spans="1:6">
      <c r="C62" s="10"/>
      <c r="D62" s="10"/>
      <c r="E62" s="79"/>
    </row>
    <row r="63" spans="1:6">
      <c r="C63" s="10"/>
      <c r="D63" s="10"/>
      <c r="E63" s="79"/>
    </row>
    <row r="64" spans="1:6">
      <c r="C64" s="80"/>
      <c r="D64" s="10"/>
      <c r="E64" s="79"/>
    </row>
  </sheetData>
  <mergeCells count="2">
    <mergeCell ref="A1:E1"/>
    <mergeCell ref="A2:E2"/>
  </mergeCells>
  <pageMargins left="0.7" right="0.7" top="0.75" bottom="0.75" header="0.3" footer="0.3"/>
  <pageSetup paperSize="0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3"/>
  <sheetViews>
    <sheetView workbookViewId="0">
      <selection activeCell="K11" sqref="K11"/>
    </sheetView>
  </sheetViews>
  <sheetFormatPr defaultRowHeight="12.75"/>
  <cols>
    <col min="1" max="1" width="6.140625" style="32" customWidth="1"/>
    <col min="2" max="2" width="58.140625" style="17" customWidth="1"/>
    <col min="3" max="3" width="15.85546875" style="17" customWidth="1"/>
    <col min="4" max="4" width="16.85546875" style="17" customWidth="1"/>
    <col min="5" max="5" width="8.28515625" style="17" customWidth="1"/>
    <col min="6" max="16384" width="9.140625" style="17"/>
  </cols>
  <sheetData>
    <row r="1" spans="1:10" s="11" customFormat="1" ht="13.5" customHeight="1">
      <c r="A1" s="96" t="s">
        <v>67</v>
      </c>
      <c r="B1" s="96"/>
      <c r="C1" s="96"/>
      <c r="D1" s="96"/>
      <c r="E1" s="96"/>
      <c r="F1" s="86"/>
      <c r="G1" s="86"/>
      <c r="H1" s="86"/>
      <c r="I1" s="86"/>
      <c r="J1" s="86"/>
    </row>
    <row r="2" spans="1:10" s="11" customFormat="1" ht="15" customHeight="1">
      <c r="A2" s="97" t="s">
        <v>176</v>
      </c>
      <c r="B2" s="97"/>
      <c r="C2" s="97"/>
      <c r="D2" s="97"/>
      <c r="E2" s="97"/>
      <c r="F2" s="12"/>
      <c r="G2" s="12"/>
      <c r="H2" s="12"/>
      <c r="I2" s="12"/>
      <c r="J2" s="12"/>
    </row>
    <row r="3" spans="1:10" s="1" customFormat="1" ht="14.25" customHeight="1">
      <c r="A3" s="13"/>
      <c r="B3" s="14"/>
      <c r="C3" s="14"/>
      <c r="D3" s="14"/>
      <c r="E3" s="15" t="s">
        <v>68</v>
      </c>
    </row>
    <row r="4" spans="1:10" ht="82.5" customHeight="1">
      <c r="A4" s="72" t="s">
        <v>69</v>
      </c>
      <c r="B4" s="16" t="s">
        <v>70</v>
      </c>
      <c r="C4" s="16" t="s">
        <v>71</v>
      </c>
      <c r="D4" s="16" t="s">
        <v>72</v>
      </c>
      <c r="E4" s="16" t="s">
        <v>73</v>
      </c>
    </row>
    <row r="5" spans="1:10">
      <c r="A5" s="73" t="s">
        <v>2</v>
      </c>
      <c r="B5" s="18">
        <v>2</v>
      </c>
      <c r="C5" s="18">
        <v>3</v>
      </c>
      <c r="D5" s="18">
        <v>4</v>
      </c>
      <c r="E5" s="19">
        <v>5</v>
      </c>
    </row>
    <row r="6" spans="1:10" s="1" customFormat="1">
      <c r="A6" s="20"/>
      <c r="B6" s="21" t="s">
        <v>74</v>
      </c>
      <c r="C6" s="8">
        <v>7060736530.5</v>
      </c>
      <c r="D6" s="8">
        <v>4709211452.8702002</v>
      </c>
      <c r="E6" s="59">
        <f>D6*100/C6</f>
        <v>66.695753800301077</v>
      </c>
    </row>
    <row r="7" spans="1:10">
      <c r="A7" s="20"/>
      <c r="B7" s="22" t="s">
        <v>75</v>
      </c>
      <c r="C7" s="10">
        <v>6347339963.6999998</v>
      </c>
      <c r="D7" s="10">
        <v>3809138713.6788001</v>
      </c>
      <c r="E7" s="59">
        <f t="shared" ref="E7:E33" si="0">D7*100/C7</f>
        <v>60.011575486156438</v>
      </c>
    </row>
    <row r="8" spans="1:10">
      <c r="A8" s="23" t="s">
        <v>5</v>
      </c>
      <c r="B8" s="24" t="s">
        <v>76</v>
      </c>
      <c r="C8" s="9">
        <v>6347339963.6999998</v>
      </c>
      <c r="D8" s="9">
        <v>3809138713.6788998</v>
      </c>
      <c r="E8" s="60">
        <f t="shared" si="0"/>
        <v>60.011575486158009</v>
      </c>
    </row>
    <row r="9" spans="1:10">
      <c r="A9" s="20"/>
      <c r="B9" s="22" t="s">
        <v>77</v>
      </c>
      <c r="C9" s="10">
        <v>198524834</v>
      </c>
      <c r="D9" s="10">
        <v>245575694.54069999</v>
      </c>
      <c r="E9" s="59">
        <f t="shared" si="0"/>
        <v>123.70023920569051</v>
      </c>
    </row>
    <row r="10" spans="1:10">
      <c r="A10" s="23" t="s">
        <v>8</v>
      </c>
      <c r="B10" s="24" t="s">
        <v>78</v>
      </c>
      <c r="C10" s="9">
        <v>198524834</v>
      </c>
      <c r="D10" s="9">
        <v>245575694.54069999</v>
      </c>
      <c r="E10" s="60">
        <f t="shared" si="0"/>
        <v>123.70023920569051</v>
      </c>
    </row>
    <row r="11" spans="1:10">
      <c r="A11" s="20"/>
      <c r="B11" s="22" t="s">
        <v>79</v>
      </c>
      <c r="C11" s="10">
        <v>68956932.799999997</v>
      </c>
      <c r="D11" s="10">
        <v>34207865.650700003</v>
      </c>
      <c r="E11" s="59">
        <f t="shared" si="0"/>
        <v>49.607580067279329</v>
      </c>
    </row>
    <row r="12" spans="1:10">
      <c r="A12" s="23" t="s">
        <v>11</v>
      </c>
      <c r="B12" s="25" t="s">
        <v>80</v>
      </c>
      <c r="C12" s="9">
        <v>68956932.799999997</v>
      </c>
      <c r="D12" s="9">
        <v>34207865.650700003</v>
      </c>
      <c r="E12" s="60">
        <f t="shared" si="0"/>
        <v>49.607580067279329</v>
      </c>
    </row>
    <row r="13" spans="1:10">
      <c r="A13" s="23"/>
      <c r="B13" s="76" t="s">
        <v>166</v>
      </c>
      <c r="C13" s="10">
        <v>0</v>
      </c>
      <c r="D13" s="10">
        <v>420834</v>
      </c>
      <c r="E13" s="61"/>
    </row>
    <row r="14" spans="1:10">
      <c r="A14" s="23" t="s">
        <v>164</v>
      </c>
      <c r="B14" s="77" t="s">
        <v>167</v>
      </c>
      <c r="C14" s="9">
        <v>0</v>
      </c>
      <c r="D14" s="9">
        <v>420834</v>
      </c>
      <c r="E14" s="60"/>
    </row>
    <row r="15" spans="1:10">
      <c r="A15" s="23"/>
      <c r="B15" s="26" t="s">
        <v>81</v>
      </c>
      <c r="C15" s="10">
        <v>445914800</v>
      </c>
      <c r="D15" s="10">
        <v>618330568</v>
      </c>
      <c r="E15" s="59">
        <f t="shared" si="0"/>
        <v>138.66563029529408</v>
      </c>
    </row>
    <row r="16" spans="1:10" ht="25.5">
      <c r="A16" s="23"/>
      <c r="B16" s="26" t="s">
        <v>173</v>
      </c>
      <c r="C16" s="10">
        <v>0</v>
      </c>
      <c r="D16" s="10">
        <v>1537777</v>
      </c>
      <c r="E16" s="59"/>
    </row>
    <row r="17" spans="1:5">
      <c r="A17" s="20"/>
      <c r="B17" s="27" t="s">
        <v>82</v>
      </c>
      <c r="C17" s="8">
        <v>9457262571.3999996</v>
      </c>
      <c r="D17" s="8">
        <v>5060089430.276</v>
      </c>
      <c r="E17" s="59">
        <f t="shared" si="0"/>
        <v>53.50480006316387</v>
      </c>
    </row>
    <row r="18" spans="1:5">
      <c r="A18" s="23" t="s">
        <v>14</v>
      </c>
      <c r="B18" s="25" t="s">
        <v>83</v>
      </c>
      <c r="C18" s="9">
        <v>589812956.5</v>
      </c>
      <c r="D18" s="9">
        <v>328110112.6825</v>
      </c>
      <c r="E18" s="60">
        <f t="shared" si="0"/>
        <v>55.629519336016827</v>
      </c>
    </row>
    <row r="19" spans="1:5">
      <c r="A19" s="23" t="s">
        <v>16</v>
      </c>
      <c r="B19" s="25" t="s">
        <v>84</v>
      </c>
      <c r="C19" s="9">
        <v>416187803.69999999</v>
      </c>
      <c r="D19" s="9">
        <v>227571418.54910001</v>
      </c>
      <c r="E19" s="60">
        <f t="shared" si="0"/>
        <v>54.67998257660139</v>
      </c>
    </row>
    <row r="20" spans="1:5">
      <c r="A20" s="23" t="s">
        <v>18</v>
      </c>
      <c r="B20" s="25" t="s">
        <v>85</v>
      </c>
      <c r="C20" s="9">
        <v>569341151</v>
      </c>
      <c r="D20" s="9">
        <v>288771079.56879997</v>
      </c>
      <c r="E20" s="60">
        <f t="shared" si="0"/>
        <v>50.720219162377035</v>
      </c>
    </row>
    <row r="21" spans="1:5">
      <c r="A21" s="23" t="s">
        <v>20</v>
      </c>
      <c r="B21" s="25" t="s">
        <v>86</v>
      </c>
      <c r="C21" s="9">
        <v>1615941333.7</v>
      </c>
      <c r="D21" s="9">
        <v>944898642.70229995</v>
      </c>
      <c r="E21" s="60">
        <f t="shared" si="0"/>
        <v>58.473573452000124</v>
      </c>
    </row>
    <row r="22" spans="1:5">
      <c r="A22" s="23" t="s">
        <v>22</v>
      </c>
      <c r="B22" s="25" t="s">
        <v>87</v>
      </c>
      <c r="C22" s="9">
        <v>1010900033.7</v>
      </c>
      <c r="D22" s="9">
        <v>565236970.00160003</v>
      </c>
      <c r="E22" s="60">
        <f t="shared" si="0"/>
        <v>55.91423000875502</v>
      </c>
    </row>
    <row r="23" spans="1:5">
      <c r="A23" s="23" t="s">
        <v>24</v>
      </c>
      <c r="B23" s="25" t="s">
        <v>88</v>
      </c>
      <c r="C23" s="9">
        <v>2003251305</v>
      </c>
      <c r="D23" s="9">
        <v>1151852479.5146999</v>
      </c>
      <c r="E23" s="60">
        <f t="shared" si="0"/>
        <v>57.499150338239765</v>
      </c>
    </row>
    <row r="24" spans="1:5">
      <c r="A24" s="23" t="s">
        <v>26</v>
      </c>
      <c r="B24" s="25" t="s">
        <v>89</v>
      </c>
      <c r="C24" s="9">
        <v>474841761</v>
      </c>
      <c r="D24" s="9">
        <v>195629042.62369999</v>
      </c>
      <c r="E24" s="60">
        <f t="shared" si="0"/>
        <v>41.198786351839004</v>
      </c>
    </row>
    <row r="25" spans="1:5">
      <c r="A25" s="23" t="s">
        <v>28</v>
      </c>
      <c r="B25" s="25" t="s">
        <v>90</v>
      </c>
      <c r="C25" s="9">
        <v>326634680.80000001</v>
      </c>
      <c r="D25" s="9">
        <v>179495866.06459999</v>
      </c>
      <c r="E25" s="60">
        <f t="shared" si="0"/>
        <v>54.953094884160869</v>
      </c>
    </row>
    <row r="26" spans="1:5">
      <c r="A26" s="23" t="s">
        <v>30</v>
      </c>
      <c r="B26" s="25" t="s">
        <v>91</v>
      </c>
      <c r="C26" s="9">
        <v>89446083.900000006</v>
      </c>
      <c r="D26" s="9">
        <v>51416753.6954</v>
      </c>
      <c r="E26" s="60">
        <f t="shared" si="0"/>
        <v>57.483515715325794</v>
      </c>
    </row>
    <row r="27" spans="1:5" ht="24" customHeight="1">
      <c r="A27" s="23" t="s">
        <v>32</v>
      </c>
      <c r="B27" s="25" t="s">
        <v>92</v>
      </c>
      <c r="C27" s="9">
        <v>349032162</v>
      </c>
      <c r="D27" s="9">
        <v>139424116.1561</v>
      </c>
      <c r="E27" s="60">
        <f t="shared" si="0"/>
        <v>39.945922277529256</v>
      </c>
    </row>
    <row r="28" spans="1:5">
      <c r="A28" s="23" t="s">
        <v>34</v>
      </c>
      <c r="B28" s="25" t="s">
        <v>93</v>
      </c>
      <c r="C28" s="9">
        <v>26770000.5</v>
      </c>
      <c r="D28" s="9">
        <v>10861718.4517</v>
      </c>
      <c r="E28" s="60">
        <f t="shared" si="0"/>
        <v>40.574218337052329</v>
      </c>
    </row>
    <row r="29" spans="1:5">
      <c r="A29" s="23" t="s">
        <v>36</v>
      </c>
      <c r="B29" s="25" t="s">
        <v>94</v>
      </c>
      <c r="C29" s="9">
        <v>720311217.20000005</v>
      </c>
      <c r="D29" s="9">
        <v>316557930.13669997</v>
      </c>
      <c r="E29" s="60">
        <f t="shared" si="0"/>
        <v>43.947383100214196</v>
      </c>
    </row>
    <row r="30" spans="1:5">
      <c r="A30" s="23" t="s">
        <v>38</v>
      </c>
      <c r="B30" s="25" t="s">
        <v>95</v>
      </c>
      <c r="C30" s="9">
        <v>664228432.5</v>
      </c>
      <c r="D30" s="9">
        <v>317271816.4066</v>
      </c>
      <c r="E30" s="60">
        <f t="shared" si="0"/>
        <v>47.765467553453455</v>
      </c>
    </row>
    <row r="31" spans="1:5">
      <c r="A31" s="23" t="s">
        <v>40</v>
      </c>
      <c r="B31" s="25" t="s">
        <v>96</v>
      </c>
      <c r="C31" s="9">
        <v>576688728</v>
      </c>
      <c r="D31" s="9">
        <v>327849444.31440002</v>
      </c>
      <c r="E31" s="60">
        <f t="shared" si="0"/>
        <v>56.850329891379467</v>
      </c>
    </row>
    <row r="32" spans="1:5" s="35" customFormat="1">
      <c r="A32" s="34" t="s">
        <v>63</v>
      </c>
      <c r="B32" s="33" t="s">
        <v>171</v>
      </c>
      <c r="C32" s="9">
        <v>10874921.9</v>
      </c>
      <c r="D32" s="9">
        <v>6278902.4078000002</v>
      </c>
      <c r="E32" s="60">
        <f t="shared" si="0"/>
        <v>57.737448282732032</v>
      </c>
    </row>
    <row r="33" spans="1:5" ht="25.5">
      <c r="A33" s="23"/>
      <c r="B33" s="22" t="s">
        <v>97</v>
      </c>
      <c r="C33" s="10">
        <v>13000000</v>
      </c>
      <c r="D33" s="10">
        <v>8863137</v>
      </c>
      <c r="E33" s="59">
        <f t="shared" si="0"/>
        <v>68.177976923076926</v>
      </c>
    </row>
    <row r="34" spans="1:5">
      <c r="A34" s="20"/>
      <c r="B34" s="22" t="s">
        <v>98</v>
      </c>
      <c r="C34" s="8">
        <v>133775517</v>
      </c>
      <c r="D34" s="8">
        <v>166907944.7755</v>
      </c>
      <c r="E34" s="59"/>
    </row>
    <row r="35" spans="1:5">
      <c r="A35" s="20"/>
      <c r="B35" s="22" t="s">
        <v>99</v>
      </c>
      <c r="C35" s="10">
        <v>207203684</v>
      </c>
      <c r="D35" s="10">
        <v>171047396.5751</v>
      </c>
      <c r="E35" s="61">
        <f t="shared" ref="E35:E41" si="1">D35*100/C35</f>
        <v>82.550364584782187</v>
      </c>
    </row>
    <row r="36" spans="1:5">
      <c r="A36" s="23" t="s">
        <v>24</v>
      </c>
      <c r="B36" s="25" t="s">
        <v>88</v>
      </c>
      <c r="C36" s="9">
        <v>30823827</v>
      </c>
      <c r="D36" s="9">
        <v>24713827</v>
      </c>
      <c r="E36" s="60">
        <f t="shared" si="1"/>
        <v>80.177672292282196</v>
      </c>
    </row>
    <row r="37" spans="1:5">
      <c r="A37" s="23" t="s">
        <v>26</v>
      </c>
      <c r="B37" s="25" t="s">
        <v>89</v>
      </c>
      <c r="C37" s="9">
        <v>92026963</v>
      </c>
      <c r="D37" s="9">
        <v>66348038.226000004</v>
      </c>
      <c r="E37" s="60">
        <f t="shared" si="1"/>
        <v>72.096303151936027</v>
      </c>
    </row>
    <row r="38" spans="1:5" ht="38.25">
      <c r="A38" s="23" t="s">
        <v>32</v>
      </c>
      <c r="B38" s="25" t="s">
        <v>92</v>
      </c>
      <c r="C38" s="9">
        <v>68687164</v>
      </c>
      <c r="D38" s="9">
        <v>65115929.498999998</v>
      </c>
      <c r="E38" s="60">
        <f t="shared" si="1"/>
        <v>94.800725065603231</v>
      </c>
    </row>
    <row r="39" spans="1:5">
      <c r="A39" s="23" t="s">
        <v>38</v>
      </c>
      <c r="B39" s="25" t="s">
        <v>100</v>
      </c>
      <c r="C39" s="9">
        <v>15665730</v>
      </c>
      <c r="D39" s="9">
        <v>14869601.850099999</v>
      </c>
      <c r="E39" s="60">
        <f t="shared" si="1"/>
        <v>94.918027120983197</v>
      </c>
    </row>
    <row r="40" spans="1:5">
      <c r="A40" s="20"/>
      <c r="B40" s="22" t="s">
        <v>101</v>
      </c>
      <c r="C40" s="10">
        <v>73428167</v>
      </c>
      <c r="D40" s="10">
        <v>4139451.7996</v>
      </c>
      <c r="E40" s="61">
        <f t="shared" si="1"/>
        <v>5.6374167689627876</v>
      </c>
    </row>
    <row r="41" spans="1:5">
      <c r="A41" s="23" t="s">
        <v>45</v>
      </c>
      <c r="B41" s="24" t="s">
        <v>102</v>
      </c>
      <c r="C41" s="9">
        <v>73428167</v>
      </c>
      <c r="D41" s="9">
        <v>4139451.7996</v>
      </c>
      <c r="E41" s="62">
        <f t="shared" si="1"/>
        <v>5.6374167689627876</v>
      </c>
    </row>
    <row r="42" spans="1:5">
      <c r="A42" s="20"/>
      <c r="B42" s="22" t="s">
        <v>103</v>
      </c>
      <c r="C42" s="8">
        <v>167035812.40000001</v>
      </c>
      <c r="D42" s="8">
        <v>123476880.30430001</v>
      </c>
      <c r="E42" s="59"/>
    </row>
    <row r="43" spans="1:5">
      <c r="A43" s="20"/>
      <c r="B43" s="28" t="s">
        <v>104</v>
      </c>
      <c r="C43" s="10">
        <v>170589621.40000001</v>
      </c>
      <c r="D43" s="10">
        <v>127687126.1349</v>
      </c>
      <c r="E43" s="61">
        <f t="shared" ref="E43:E53" si="2">D43*100/C43</f>
        <v>74.85046574756042</v>
      </c>
    </row>
    <row r="44" spans="1:5">
      <c r="A44" s="23" t="s">
        <v>14</v>
      </c>
      <c r="B44" s="25" t="s">
        <v>83</v>
      </c>
      <c r="C44" s="9">
        <v>13832023</v>
      </c>
      <c r="D44" s="9">
        <v>13735098.6774</v>
      </c>
      <c r="E44" s="60">
        <f t="shared" si="2"/>
        <v>99.299275871649428</v>
      </c>
    </row>
    <row r="45" spans="1:5">
      <c r="A45" s="23" t="s">
        <v>16</v>
      </c>
      <c r="B45" s="25" t="s">
        <v>84</v>
      </c>
      <c r="C45" s="9">
        <v>10377200</v>
      </c>
      <c r="D45" s="9">
        <v>10377200</v>
      </c>
      <c r="E45" s="60">
        <f t="shared" si="2"/>
        <v>100</v>
      </c>
    </row>
    <row r="46" spans="1:5">
      <c r="A46" s="23" t="s">
        <v>20</v>
      </c>
      <c r="B46" s="25" t="s">
        <v>86</v>
      </c>
      <c r="C46" s="9">
        <v>3375686</v>
      </c>
      <c r="D46" s="9">
        <v>3375686</v>
      </c>
      <c r="E46" s="60">
        <f t="shared" si="2"/>
        <v>100</v>
      </c>
    </row>
    <row r="47" spans="1:5">
      <c r="A47" s="23" t="s">
        <v>22</v>
      </c>
      <c r="B47" s="25" t="s">
        <v>87</v>
      </c>
      <c r="C47" s="9">
        <v>106050</v>
      </c>
      <c r="D47" s="9">
        <v>0</v>
      </c>
      <c r="E47" s="60">
        <f t="shared" si="2"/>
        <v>0</v>
      </c>
    </row>
    <row r="48" spans="1:5" s="70" customFormat="1">
      <c r="A48" s="68" t="s">
        <v>26</v>
      </c>
      <c r="B48" s="69" t="s">
        <v>89</v>
      </c>
      <c r="C48" s="9">
        <v>10452130</v>
      </c>
      <c r="D48" s="9">
        <v>297734</v>
      </c>
      <c r="E48" s="60">
        <f t="shared" si="2"/>
        <v>2.8485485733529914</v>
      </c>
    </row>
    <row r="49" spans="1:5" s="70" customFormat="1" ht="26.25" customHeight="1">
      <c r="A49" s="23" t="s">
        <v>32</v>
      </c>
      <c r="B49" s="25" t="s">
        <v>92</v>
      </c>
      <c r="C49" s="9">
        <v>25000000</v>
      </c>
      <c r="D49" s="9">
        <v>19430000</v>
      </c>
      <c r="E49" s="60">
        <f t="shared" si="2"/>
        <v>77.72</v>
      </c>
    </row>
    <row r="50" spans="1:5">
      <c r="A50" s="23" t="s">
        <v>36</v>
      </c>
      <c r="B50" s="25" t="s">
        <v>94</v>
      </c>
      <c r="C50" s="9">
        <v>21707344</v>
      </c>
      <c r="D50" s="9">
        <v>19297072</v>
      </c>
      <c r="E50" s="60">
        <f t="shared" si="2"/>
        <v>88.896513548594427</v>
      </c>
    </row>
    <row r="51" spans="1:5">
      <c r="A51" s="23" t="s">
        <v>38</v>
      </c>
      <c r="B51" s="24" t="s">
        <v>100</v>
      </c>
      <c r="C51" s="9">
        <v>85739188.400000006</v>
      </c>
      <c r="D51" s="9">
        <v>61174335.457500003</v>
      </c>
      <c r="E51" s="60">
        <f t="shared" si="2"/>
        <v>71.349328818116035</v>
      </c>
    </row>
    <row r="52" spans="1:5">
      <c r="A52" s="20"/>
      <c r="B52" s="22" t="s">
        <v>105</v>
      </c>
      <c r="C52" s="10">
        <v>3553809</v>
      </c>
      <c r="D52" s="10">
        <v>4210245.8306</v>
      </c>
      <c r="E52" s="59">
        <f t="shared" si="2"/>
        <v>118.47135933867014</v>
      </c>
    </row>
    <row r="53" spans="1:5">
      <c r="A53" s="23" t="s">
        <v>50</v>
      </c>
      <c r="B53" s="24" t="s">
        <v>106</v>
      </c>
      <c r="C53" s="9">
        <v>3553809</v>
      </c>
      <c r="D53" s="9">
        <v>4210245.8306200001</v>
      </c>
      <c r="E53" s="60">
        <f t="shared" si="2"/>
        <v>118.47135933923293</v>
      </c>
    </row>
    <row r="54" spans="1:5">
      <c r="A54" s="20"/>
      <c r="B54" s="22" t="s">
        <v>107</v>
      </c>
      <c r="C54" s="8">
        <v>-2697337370.2999997</v>
      </c>
      <c r="D54" s="8">
        <v>-641262802.48559988</v>
      </c>
      <c r="E54" s="59"/>
    </row>
    <row r="55" spans="1:5">
      <c r="A55" s="20"/>
      <c r="B55" s="29" t="s">
        <v>108</v>
      </c>
      <c r="C55" s="8">
        <v>2697337370.2999997</v>
      </c>
      <c r="D55" s="8">
        <v>641262802.48559988</v>
      </c>
      <c r="E55" s="59"/>
    </row>
    <row r="56" spans="1:5">
      <c r="A56" s="20"/>
      <c r="B56" s="22" t="s">
        <v>109</v>
      </c>
      <c r="C56" s="10">
        <v>1144417293</v>
      </c>
      <c r="D56" s="10">
        <v>593369135.5</v>
      </c>
      <c r="E56" s="61">
        <f>D56*100/C56</f>
        <v>51.849018634149566</v>
      </c>
    </row>
    <row r="57" spans="1:5">
      <c r="A57" s="23" t="s">
        <v>55</v>
      </c>
      <c r="B57" s="24" t="s">
        <v>110</v>
      </c>
      <c r="C57" s="9">
        <v>1144417293</v>
      </c>
      <c r="D57" s="9">
        <v>593369135.5</v>
      </c>
      <c r="E57" s="60">
        <f>D57*100/C57</f>
        <v>51.849018634149566</v>
      </c>
    </row>
    <row r="58" spans="1:5">
      <c r="A58" s="20"/>
      <c r="B58" s="29" t="s">
        <v>111</v>
      </c>
      <c r="C58" s="10">
        <v>392519919</v>
      </c>
      <c r="D58" s="10">
        <v>225954354.96059999</v>
      </c>
      <c r="E58" s="61">
        <f>D58*100/C58</f>
        <v>57.565067152834089</v>
      </c>
    </row>
    <row r="59" spans="1:5">
      <c r="A59" s="23" t="s">
        <v>58</v>
      </c>
      <c r="B59" s="30" t="s">
        <v>112</v>
      </c>
      <c r="C59" s="9">
        <v>392519919</v>
      </c>
      <c r="D59" s="9">
        <v>225954354.96059999</v>
      </c>
      <c r="E59" s="60">
        <f>D59*100/C59</f>
        <v>57.565067152834089</v>
      </c>
    </row>
    <row r="60" spans="1:5" ht="14.25">
      <c r="A60" s="20"/>
      <c r="B60" s="31" t="s">
        <v>113</v>
      </c>
      <c r="C60" s="8">
        <v>1945439996.2999997</v>
      </c>
      <c r="D60" s="8">
        <v>273848021.94619989</v>
      </c>
      <c r="E60" s="63"/>
    </row>
    <row r="61" spans="1:5">
      <c r="C61" s="10"/>
      <c r="D61" s="10"/>
      <c r="E61" s="79"/>
    </row>
    <row r="62" spans="1:5">
      <c r="C62" s="10"/>
      <c r="D62" s="10"/>
      <c r="E62" s="79"/>
    </row>
    <row r="63" spans="1:5">
      <c r="C63" s="80"/>
      <c r="D63" s="10"/>
      <c r="E63" s="79"/>
    </row>
  </sheetData>
  <mergeCells count="2">
    <mergeCell ref="A1:E1"/>
    <mergeCell ref="A2:E2"/>
  </mergeCells>
  <pageMargins left="0.7" right="0.7" top="0.75" bottom="0.75" header="0.3" footer="0.3"/>
  <pageSetup paperSize="0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рус</vt:lpstr>
      <vt:lpstr>каз</vt:lpstr>
      <vt:lpstr>англ</vt:lpstr>
      <vt:lpstr>рус!Заголовки_для_печати</vt:lpstr>
      <vt:lpstr>рус!Область_печати</vt:lpstr>
    </vt:vector>
  </TitlesOfParts>
  <Company>RR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MMahmut</dc:creator>
  <cp:lastModifiedBy>eapahayeva</cp:lastModifiedBy>
  <cp:lastPrinted>2016-06-13T04:15:09Z</cp:lastPrinted>
  <dcterms:created xsi:type="dcterms:W3CDTF">2003-05-20T10:03:43Z</dcterms:created>
  <dcterms:modified xsi:type="dcterms:W3CDTF">2020-02-28T11:14:01Z</dcterms:modified>
</cp:coreProperties>
</file>