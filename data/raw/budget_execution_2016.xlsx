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 defaultThemeVersion="124226"/>
  <bookViews>
    <workbookView xWindow="120" yWindow="30" windowWidth="15180" windowHeight="10110"/>
  </bookViews>
  <sheets>
    <sheet name="Отчет" sheetId="1" r:id="rId1"/>
  </sheets>
  <definedNames>
    <definedName name="_xlnm.Print_Titles" localSheetId="0">Отчет!$7:$9</definedName>
  </definedNames>
  <calcPr calcId="125725" fullCalcOnLoad="1"/>
</workbook>
</file>

<file path=xl/calcChain.xml><?xml version="1.0" encoding="utf-8"?>
<calcChain xmlns="http://schemas.openxmlformats.org/spreadsheetml/2006/main">
  <c r="N10" i="1"/>
  <c r="O10"/>
  <c r="N11"/>
  <c r="O11"/>
  <c r="N12"/>
  <c r="O12"/>
  <c r="N13"/>
  <c r="O13"/>
  <c r="N14"/>
  <c r="O14"/>
  <c r="N15"/>
  <c r="O15"/>
  <c r="N16"/>
  <c r="O16"/>
  <c r="N17"/>
  <c r="O17"/>
  <c r="N18"/>
  <c r="O18"/>
  <c r="L19"/>
  <c r="N19"/>
  <c r="O19"/>
  <c r="L20"/>
  <c r="N20"/>
  <c r="O20"/>
  <c r="L21"/>
  <c r="N21"/>
  <c r="O21"/>
  <c r="L22"/>
  <c r="N22"/>
  <c r="O22"/>
  <c r="L23"/>
  <c r="N23"/>
  <c r="O23"/>
  <c r="L24"/>
  <c r="N24"/>
  <c r="O24"/>
  <c r="L25"/>
  <c r="N25"/>
  <c r="O25"/>
  <c r="L26"/>
  <c r="N26"/>
  <c r="O26"/>
  <c r="L27"/>
  <c r="N27"/>
  <c r="O27"/>
  <c r="L28"/>
  <c r="N28"/>
  <c r="O28"/>
  <c r="L29"/>
  <c r="N29"/>
  <c r="O29"/>
  <c r="L30"/>
  <c r="N30"/>
  <c r="O30"/>
  <c r="L31"/>
  <c r="N31"/>
  <c r="O31"/>
  <c r="L32"/>
  <c r="N32"/>
  <c r="O32"/>
  <c r="L33"/>
  <c r="N33"/>
  <c r="O33"/>
  <c r="L34"/>
  <c r="N34"/>
  <c r="O34"/>
  <c r="L36"/>
  <c r="N36"/>
  <c r="O36"/>
  <c r="L37"/>
  <c r="N37"/>
  <c r="O37"/>
  <c r="L38"/>
  <c r="N38"/>
  <c r="O38"/>
  <c r="L39"/>
  <c r="N39"/>
  <c r="O39"/>
  <c r="L40"/>
  <c r="N40"/>
  <c r="O40"/>
  <c r="L41"/>
  <c r="N41"/>
  <c r="O41"/>
  <c r="N42"/>
  <c r="O42"/>
  <c r="N43"/>
  <c r="O43"/>
  <c r="L45"/>
  <c r="N45"/>
  <c r="O45"/>
  <c r="L46"/>
  <c r="N46"/>
  <c r="O46"/>
  <c r="L47"/>
  <c r="N47"/>
  <c r="O47"/>
  <c r="L48"/>
  <c r="N48"/>
  <c r="O48"/>
  <c r="L49"/>
  <c r="N49"/>
  <c r="O49"/>
  <c r="L50"/>
  <c r="N50"/>
  <c r="O50"/>
  <c r="L51"/>
  <c r="N51"/>
  <c r="O51"/>
  <c r="L52"/>
  <c r="N52"/>
  <c r="O52"/>
  <c r="L53"/>
  <c r="N53"/>
  <c r="O53"/>
  <c r="N54"/>
  <c r="O54"/>
  <c r="N55"/>
  <c r="O55"/>
  <c r="N58"/>
  <c r="O58"/>
  <c r="N59"/>
  <c r="O59"/>
  <c r="L60"/>
  <c r="N60"/>
  <c r="O60"/>
  <c r="L61"/>
  <c r="N61"/>
  <c r="O61"/>
</calcChain>
</file>

<file path=xl/sharedStrings.xml><?xml version="1.0" encoding="utf-8"?>
<sst xmlns="http://schemas.openxmlformats.org/spreadsheetml/2006/main" count="113" uniqueCount="87">
  <si>
    <t>Отчет об исполнении государственного бюджета</t>
  </si>
  <si>
    <t xml:space="preserve">за   2016 год  </t>
  </si>
  <si>
    <t xml:space="preserve">  </t>
  </si>
  <si>
    <t xml:space="preserve">Периодичность </t>
  </si>
  <si>
    <t xml:space="preserve">годовая </t>
  </si>
  <si>
    <t xml:space="preserve">Единица измерения </t>
  </si>
  <si>
    <t xml:space="preserve">тыс.тенге </t>
  </si>
  <si>
    <t xml:space="preserve">Коды бюджетной классификации </t>
  </si>
  <si>
    <t xml:space="preserve">Наименование </t>
  </si>
  <si>
    <t xml:space="preserve">Утвержденный бюджет на отчетный финансовый год </t>
  </si>
  <si>
    <t xml:space="preserve">Уточненный бюджет на отчетный финансовый год </t>
  </si>
  <si>
    <t xml:space="preserve">Скорректированный бюджет на отчетный финансовый год1 </t>
  </si>
  <si>
    <t xml:space="preserve">Сводный план поступлений и финансирования по платежам, сводный план финансирования по обязательствам на отчетный период </t>
  </si>
  <si>
    <t xml:space="preserve">Принятые обязательства </t>
  </si>
  <si>
    <t xml:space="preserve">Неоплаченные обязательства </t>
  </si>
  <si>
    <t xml:space="preserve">Исполнение поступлениий бюджета и/или оплаченных обязательств по бюджетным программам (подпрограммам) </t>
  </si>
  <si>
    <t xml:space="preserve">Исп-е поступ-ий бюджета и/или оплач. обяз-в по бюдж. прогр. (подпрогр.)  к свод. плану  поступ-ий и финанс-ия  на отчет. период, % </t>
  </si>
  <si>
    <t xml:space="preserve">Исп-е поступ-ий бюджета и/или оплач. обяз-ва по бюдж. прогр. (подпрогр.) к исполняемому бюджету, % </t>
  </si>
  <si>
    <t xml:space="preserve">по платежам </t>
  </si>
  <si>
    <t xml:space="preserve">по обязательствам </t>
  </si>
  <si>
    <t xml:space="preserve">1 </t>
  </si>
  <si>
    <t>I. ДОХОДЫ</t>
  </si>
  <si>
    <t>НАЛОГОВЫЕ ПОСТУПЛЕНИЯ</t>
  </si>
  <si>
    <t>1</t>
  </si>
  <si>
    <t>Налоговые поступления</t>
  </si>
  <si>
    <t>НЕНАЛОГОВЫЕ ПОСТУПЛЕНИЯ</t>
  </si>
  <si>
    <t>2</t>
  </si>
  <si>
    <t>Неналоговые поступления</t>
  </si>
  <si>
    <t>ПОСТУПЛЕНИЯ ОТ ПРОДАЖИ ОСНОВНОГО КАПИТАЛА</t>
  </si>
  <si>
    <t>3</t>
  </si>
  <si>
    <t>Поступления от продажи основного капитала</t>
  </si>
  <si>
    <t>ПОСТУПЛЕНИЯ ТРАНСФЕРТОВ</t>
  </si>
  <si>
    <t>4</t>
  </si>
  <si>
    <t>Поступления трансфертов</t>
  </si>
  <si>
    <t>II. ЗАТРАТЫ</t>
  </si>
  <si>
    <t>01</t>
  </si>
  <si>
    <t>Государственные услуги общего характера</t>
  </si>
  <si>
    <t>02</t>
  </si>
  <si>
    <t>Оборона</t>
  </si>
  <si>
    <t>03</t>
  </si>
  <si>
    <t>Общественный порядок, безопасность, правовая, судебная, уголовно-исполнительная деятельность</t>
  </si>
  <si>
    <t>04</t>
  </si>
  <si>
    <t>Образование</t>
  </si>
  <si>
    <t>05</t>
  </si>
  <si>
    <t>Здравоохранение</t>
  </si>
  <si>
    <t>06</t>
  </si>
  <si>
    <t>Социальная помощь и социальное обеспечение</t>
  </si>
  <si>
    <t>07</t>
  </si>
  <si>
    <t>Жилищно-коммунальное хозяйство</t>
  </si>
  <si>
    <t>08</t>
  </si>
  <si>
    <t>Культура, спорт, туризм и информационное пространство</t>
  </si>
  <si>
    <t>09</t>
  </si>
  <si>
    <t>Топливно-энергетический комплекс и недропользование</t>
  </si>
  <si>
    <t>10</t>
  </si>
  <si>
    <t>Сельское, водное, лесное, рыбное хозяйство, особо охраняемые природные территории, охрана окружающей среды и животного мира, земельные отношения</t>
  </si>
  <si>
    <t>11</t>
  </si>
  <si>
    <t>Промышленность, архитектурная, градостроительная и строительная деятельность</t>
  </si>
  <si>
    <t>12</t>
  </si>
  <si>
    <t>Транспорт и коммуникации</t>
  </si>
  <si>
    <t>13</t>
  </si>
  <si>
    <t>Прочие</t>
  </si>
  <si>
    <t>14</t>
  </si>
  <si>
    <t>Обслуживание долга</t>
  </si>
  <si>
    <t>15</t>
  </si>
  <si>
    <t>Трансферты</t>
  </si>
  <si>
    <t>III. ЧИСТОЕ БЮДЖЕТНОЕ КРЕДИТОВАНИЕ</t>
  </si>
  <si>
    <t>БЮДЖЕТНЫЕ КРЕДИТЫ</t>
  </si>
  <si>
    <t>ПОГАШЕНИЕ БЮДЖЕТНЫХ КРЕДИТОВ</t>
  </si>
  <si>
    <t>5</t>
  </si>
  <si>
    <t>Погашение бюджетных кредитов</t>
  </si>
  <si>
    <t>IV. САЛЬДО ПО ОПЕРАЦИЯМ С ФИНАНСОВЫМИ АКТИВАМИ</t>
  </si>
  <si>
    <t>ПРИОБРЕТЕНИЕ ФИНАНСОВЫХ АКТИВОВ</t>
  </si>
  <si>
    <t>ПОСТУПЛЕНИЯ ОТ ПРОДАЖИ ФИНАНСОВЫХ АКТИВОВ ГОСУДАРСТВА</t>
  </si>
  <si>
    <t>6</t>
  </si>
  <si>
    <t>Поступления от продажи финансовых активов государства</t>
  </si>
  <si>
    <t>V. ДЕФИЦИТ (ПРОФИЦИТ) БЮДЖЕТА</t>
  </si>
  <si>
    <t>VI. ФИНАНСИРОВАНИЕ ДЕФИЦИТА (ИСПОЛЬЗОВАНИЕ ПРОФИЦИТА) БЮДЖЕТА</t>
  </si>
  <si>
    <t>ПОСТУПЛЕНИЕ ЗАЙМОВ</t>
  </si>
  <si>
    <t>7</t>
  </si>
  <si>
    <t>Поступления займов</t>
  </si>
  <si>
    <t>ПОГАШЕНИЕ ЗАЙМОВ</t>
  </si>
  <si>
    <t>16</t>
  </si>
  <si>
    <t>Погашение займов</t>
  </si>
  <si>
    <t>ИСПОЛЬЗУЕМЫЕ ОСТАТКИ БЮДЖЕТНЫХ СРЕДСТВ</t>
  </si>
  <si>
    <t>Справочно:
Остатки бюджетных средств</t>
  </si>
  <si>
    <t>Остатки бюджетных средств на начало финансового года</t>
  </si>
  <si>
    <t>Остатки бюджетных средств на конец отчетного периода</t>
  </si>
</sst>
</file>

<file path=xl/styles.xml><?xml version="1.0" encoding="utf-8"?>
<styleSheet xmlns="http://schemas.openxmlformats.org/spreadsheetml/2006/main">
  <numFmts count="1">
    <numFmt numFmtId="180" formatCode="#,##0.0"/>
  </numFmts>
  <fonts count="11">
    <font>
      <sz val="10"/>
      <name val="Arial Cyr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i/>
      <sz val="8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u/>
      <sz val="8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8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49" fontId="2" fillId="0" borderId="0" xfId="0" applyNumberFormat="1" applyFont="1" applyAlignment="1">
      <alignment horizontal="centerContinuous" wrapText="1"/>
    </xf>
    <xf numFmtId="0" fontId="3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centerContinuous" wrapText="1"/>
    </xf>
    <xf numFmtId="49" fontId="6" fillId="0" borderId="0" xfId="0" applyNumberFormat="1" applyFont="1" applyAlignment="1">
      <alignment horizontal="centerContinuous" wrapText="1"/>
    </xf>
    <xf numFmtId="0" fontId="4" fillId="0" borderId="0" xfId="0" applyFont="1" applyAlignment="1">
      <alignment horizontal="centerContinuous" wrapText="1"/>
    </xf>
    <xf numFmtId="0" fontId="1" fillId="0" borderId="0" xfId="0" applyFont="1" applyAlignment="1">
      <alignment horizontal="centerContinuous" wrapText="1"/>
    </xf>
    <xf numFmtId="49" fontId="3" fillId="0" borderId="0" xfId="0" applyNumberFormat="1" applyFont="1"/>
    <xf numFmtId="0" fontId="7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49" fontId="8" fillId="0" borderId="7" xfId="0" applyNumberFormat="1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 wrapText="1"/>
    </xf>
    <xf numFmtId="180" fontId="9" fillId="0" borderId="0" xfId="0" applyNumberFormat="1" applyFont="1" applyAlignment="1">
      <alignment vertical="center"/>
    </xf>
    <xf numFmtId="180" fontId="9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 wrapText="1"/>
    </xf>
    <xf numFmtId="180" fontId="10" fillId="0" borderId="0" xfId="0" applyNumberFormat="1" applyFont="1" applyAlignment="1">
      <alignment vertical="center"/>
    </xf>
    <xf numFmtId="180" fontId="10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180" fontId="5" fillId="0" borderId="0" xfId="0" applyNumberFormat="1" applyFont="1" applyAlignment="1">
      <alignment vertical="center"/>
    </xf>
    <xf numFmtId="180" fontId="5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Continuous" vertical="center" wrapText="1"/>
    </xf>
    <xf numFmtId="49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Continuous" vertical="center"/>
    </xf>
    <xf numFmtId="49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>
    <pageSetUpPr fitToPage="1"/>
  </sheetPr>
  <dimension ref="A1:O69"/>
  <sheetViews>
    <sheetView tabSelected="1" zoomScaleNormal="100" workbookViewId="0">
      <pane xSplit="5" ySplit="10" topLeftCell="F11" activePane="bottomRight" state="frozen"/>
      <selection pane="topRight" activeCell="H1" sqref="H1"/>
      <selection pane="bottomLeft" activeCell="A15" sqref="A15"/>
      <selection pane="bottomRight" activeCell="I4" sqref="I4"/>
    </sheetView>
  </sheetViews>
  <sheetFormatPr defaultRowHeight="11.25"/>
  <cols>
    <col min="1" max="4" width="4" style="42" customWidth="1"/>
    <col min="5" max="5" width="52.28515625" style="2" customWidth="1"/>
    <col min="6" max="9" width="13.85546875" style="2" customWidth="1"/>
    <col min="10" max="10" width="12.85546875" style="2" customWidth="1"/>
    <col min="11" max="11" width="13" style="2" customWidth="1"/>
    <col min="12" max="12" width="12" style="2" customWidth="1"/>
    <col min="13" max="13" width="13.85546875" style="2" customWidth="1"/>
    <col min="14" max="15" width="11.28515625" style="2" customWidth="1"/>
    <col min="16" max="16384" width="9.140625" style="2"/>
  </cols>
  <sheetData>
    <row r="1" spans="1:15" s="3" customFormat="1" ht="15.7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5" s="3" customFormat="1" ht="15.75">
      <c r="A2" s="43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1:15" s="3" customFormat="1" ht="15.75">
      <c r="A3" s="5"/>
      <c r="B3" s="1"/>
      <c r="C3" s="1"/>
      <c r="D3" s="1"/>
      <c r="E3" s="4"/>
      <c r="F3" s="4"/>
      <c r="G3" s="6"/>
      <c r="H3" s="4"/>
      <c r="I3" s="4"/>
      <c r="J3" s="4"/>
      <c r="K3" s="4"/>
      <c r="L3" s="4"/>
      <c r="M3" s="7"/>
      <c r="N3" s="4"/>
      <c r="O3" s="4"/>
    </row>
    <row r="4" spans="1:15" s="3" customFormat="1" ht="15.75">
      <c r="A4" s="5" t="s">
        <v>2</v>
      </c>
      <c r="B4" s="1"/>
      <c r="C4" s="1"/>
      <c r="D4" s="1"/>
      <c r="E4" s="4"/>
      <c r="F4" s="4"/>
      <c r="G4" s="6"/>
      <c r="H4" s="4"/>
      <c r="I4" s="4"/>
      <c r="J4" s="4"/>
      <c r="K4" s="4"/>
      <c r="L4" s="4"/>
      <c r="M4" s="7"/>
      <c r="N4" s="4"/>
      <c r="O4" s="4"/>
    </row>
    <row r="5" spans="1:15" s="10" customFormat="1">
      <c r="A5" s="8" t="s">
        <v>3</v>
      </c>
      <c r="B5" s="8"/>
      <c r="C5" s="8"/>
      <c r="D5" s="8"/>
      <c r="E5" s="9" t="s">
        <v>4</v>
      </c>
      <c r="M5" s="11"/>
    </row>
    <row r="6" spans="1:15">
      <c r="A6" s="8" t="s">
        <v>5</v>
      </c>
      <c r="B6" s="8"/>
      <c r="C6" s="8"/>
      <c r="D6" s="8"/>
      <c r="E6" s="9" t="s">
        <v>6</v>
      </c>
      <c r="F6" s="10"/>
      <c r="G6" s="10"/>
    </row>
    <row r="7" spans="1:15" s="18" customFormat="1" ht="42.75" customHeight="1">
      <c r="A7" s="12" t="s">
        <v>7</v>
      </c>
      <c r="B7" s="13"/>
      <c r="C7" s="13"/>
      <c r="D7" s="13"/>
      <c r="E7" s="14" t="s">
        <v>8</v>
      </c>
      <c r="F7" s="14" t="s">
        <v>9</v>
      </c>
      <c r="G7" s="14" t="s">
        <v>10</v>
      </c>
      <c r="H7" s="14" t="s">
        <v>11</v>
      </c>
      <c r="I7" s="15" t="s">
        <v>12</v>
      </c>
      <c r="J7" s="16"/>
      <c r="K7" s="14" t="s">
        <v>13</v>
      </c>
      <c r="L7" s="14" t="s">
        <v>14</v>
      </c>
      <c r="M7" s="14" t="s">
        <v>15</v>
      </c>
      <c r="N7" s="14" t="s">
        <v>16</v>
      </c>
      <c r="O7" s="17" t="s">
        <v>17</v>
      </c>
    </row>
    <row r="8" spans="1:15" s="18" customFormat="1" ht="45" customHeight="1">
      <c r="A8" s="19"/>
      <c r="B8" s="20"/>
      <c r="C8" s="20"/>
      <c r="D8" s="20"/>
      <c r="E8" s="21"/>
      <c r="F8" s="21"/>
      <c r="G8" s="21"/>
      <c r="H8" s="21"/>
      <c r="I8" s="22" t="s">
        <v>18</v>
      </c>
      <c r="J8" s="22" t="s">
        <v>19</v>
      </c>
      <c r="K8" s="21"/>
      <c r="L8" s="21"/>
      <c r="M8" s="21"/>
      <c r="N8" s="21"/>
      <c r="O8" s="17"/>
    </row>
    <row r="9" spans="1:15">
      <c r="A9" s="23" t="s">
        <v>20</v>
      </c>
      <c r="B9" s="24"/>
      <c r="C9" s="24"/>
      <c r="D9" s="24"/>
      <c r="E9" s="25">
        <v>2</v>
      </c>
      <c r="F9" s="26">
        <v>3</v>
      </c>
      <c r="G9" s="26">
        <v>4</v>
      </c>
      <c r="H9" s="26">
        <v>5</v>
      </c>
      <c r="I9" s="26">
        <v>6</v>
      </c>
      <c r="J9" s="26">
        <v>7</v>
      </c>
      <c r="K9" s="26">
        <v>8</v>
      </c>
      <c r="L9" s="26">
        <v>9</v>
      </c>
      <c r="M9" s="26">
        <v>10</v>
      </c>
      <c r="N9" s="26">
        <v>11</v>
      </c>
      <c r="O9" s="26">
        <v>12</v>
      </c>
    </row>
    <row r="10" spans="1:15" ht="12">
      <c r="A10" s="27"/>
      <c r="B10" s="27"/>
      <c r="C10" s="27"/>
      <c r="D10" s="27"/>
      <c r="E10" s="28" t="s">
        <v>21</v>
      </c>
      <c r="F10" s="29">
        <v>8219202051.1999998</v>
      </c>
      <c r="G10" s="29">
        <v>9203363250.2000008</v>
      </c>
      <c r="H10" s="29">
        <v>9203618943.5</v>
      </c>
      <c r="I10" s="29">
        <v>9203618943.5</v>
      </c>
      <c r="J10" s="29"/>
      <c r="K10" s="29"/>
      <c r="L10" s="29"/>
      <c r="M10" s="29">
        <v>9308485186.6840992</v>
      </c>
      <c r="N10" s="30">
        <f>IF(I10=0,0,M10/I10*100)</f>
        <v>101.13940227021416</v>
      </c>
      <c r="O10" s="30">
        <f>IF(H10=0,0,M10/H10*100)</f>
        <v>101.13940227021416</v>
      </c>
    </row>
    <row r="11" spans="1:15">
      <c r="A11" s="31"/>
      <c r="B11" s="31"/>
      <c r="C11" s="31"/>
      <c r="D11" s="31"/>
      <c r="E11" s="32" t="s">
        <v>22</v>
      </c>
      <c r="F11" s="33">
        <v>5012892605</v>
      </c>
      <c r="G11" s="33">
        <v>5585036784.8999996</v>
      </c>
      <c r="H11" s="33">
        <v>5584895604.5</v>
      </c>
      <c r="I11" s="33">
        <v>5584895604.5</v>
      </c>
      <c r="J11" s="33"/>
      <c r="K11" s="33"/>
      <c r="L11" s="33"/>
      <c r="M11" s="33">
        <v>6023262753.3369999</v>
      </c>
      <c r="N11" s="34">
        <f>IF(I11=0,0,M11/I11*100)</f>
        <v>107.84915564910091</v>
      </c>
      <c r="O11" s="34">
        <f>IF(H11=0,0,M11/H11*100)</f>
        <v>107.84915564910091</v>
      </c>
    </row>
    <row r="12" spans="1:15">
      <c r="A12" s="35" t="s">
        <v>23</v>
      </c>
      <c r="B12" s="35"/>
      <c r="C12" s="35"/>
      <c r="D12" s="35"/>
      <c r="E12" s="36" t="s">
        <v>24</v>
      </c>
      <c r="F12" s="37">
        <v>5012892605</v>
      </c>
      <c r="G12" s="37">
        <v>5585036784.8999996</v>
      </c>
      <c r="H12" s="37">
        <v>5584895604.5</v>
      </c>
      <c r="I12" s="37">
        <v>5584895604.5</v>
      </c>
      <c r="J12" s="37"/>
      <c r="K12" s="37"/>
      <c r="L12" s="37"/>
      <c r="M12" s="37">
        <v>6023262753.3367996</v>
      </c>
      <c r="N12" s="38">
        <f>IF(I12=0,0,M12/I12*100)</f>
        <v>107.84915564909731</v>
      </c>
      <c r="O12" s="38">
        <f>IF(H12=0,0,M12/H12*100)</f>
        <v>107.84915564909731</v>
      </c>
    </row>
    <row r="13" spans="1:15">
      <c r="A13" s="31"/>
      <c r="B13" s="31"/>
      <c r="C13" s="31"/>
      <c r="D13" s="31"/>
      <c r="E13" s="32" t="s">
        <v>25</v>
      </c>
      <c r="F13" s="33">
        <v>177483491.19999999</v>
      </c>
      <c r="G13" s="33">
        <v>328303237.60000002</v>
      </c>
      <c r="H13" s="33">
        <v>328701554.30000001</v>
      </c>
      <c r="I13" s="33">
        <v>328701554.30000001</v>
      </c>
      <c r="J13" s="33"/>
      <c r="K13" s="33"/>
      <c r="L13" s="33"/>
      <c r="M13" s="33">
        <v>369423734.74720001</v>
      </c>
      <c r="N13" s="34">
        <f>IF(I13=0,0,M13/I13*100)</f>
        <v>112.38880069609698</v>
      </c>
      <c r="O13" s="34">
        <f>IF(H13=0,0,M13/H13*100)</f>
        <v>112.38880069609698</v>
      </c>
    </row>
    <row r="14" spans="1:15">
      <c r="A14" s="35" t="s">
        <v>26</v>
      </c>
      <c r="B14" s="35"/>
      <c r="C14" s="35"/>
      <c r="D14" s="35"/>
      <c r="E14" s="36" t="s">
        <v>27</v>
      </c>
      <c r="F14" s="37">
        <v>177483491.19999999</v>
      </c>
      <c r="G14" s="37">
        <v>328303237.60000002</v>
      </c>
      <c r="H14" s="37">
        <v>328701554.30000001</v>
      </c>
      <c r="I14" s="37">
        <v>328701554.30000001</v>
      </c>
      <c r="J14" s="37"/>
      <c r="K14" s="37"/>
      <c r="L14" s="37"/>
      <c r="M14" s="37">
        <v>369423734.74720001</v>
      </c>
      <c r="N14" s="38">
        <f>IF(I14=0,0,M14/I14*100)</f>
        <v>112.38880069609698</v>
      </c>
      <c r="O14" s="38">
        <f>IF(H14=0,0,M14/H14*100)</f>
        <v>112.38880069609698</v>
      </c>
    </row>
    <row r="15" spans="1:15">
      <c r="A15" s="31"/>
      <c r="B15" s="31"/>
      <c r="C15" s="31"/>
      <c r="D15" s="31"/>
      <c r="E15" s="32" t="s">
        <v>28</v>
      </c>
      <c r="F15" s="33">
        <v>61825955</v>
      </c>
      <c r="G15" s="33">
        <v>57448083.700000003</v>
      </c>
      <c r="H15" s="33">
        <v>57446640.700000003</v>
      </c>
      <c r="I15" s="33">
        <v>57446640.700000003</v>
      </c>
      <c r="J15" s="33"/>
      <c r="K15" s="33"/>
      <c r="L15" s="33"/>
      <c r="M15" s="33">
        <v>60224601.159900002</v>
      </c>
      <c r="N15" s="34">
        <f>IF(I15=0,0,M15/I15*100)</f>
        <v>104.83572307457831</v>
      </c>
      <c r="O15" s="34">
        <f>IF(H15=0,0,M15/H15*100)</f>
        <v>104.83572307457831</v>
      </c>
    </row>
    <row r="16" spans="1:15">
      <c r="A16" s="35" t="s">
        <v>29</v>
      </c>
      <c r="B16" s="35"/>
      <c r="C16" s="35"/>
      <c r="D16" s="35"/>
      <c r="E16" s="36" t="s">
        <v>30</v>
      </c>
      <c r="F16" s="37">
        <v>61825955</v>
      </c>
      <c r="G16" s="37">
        <v>57448083.700000003</v>
      </c>
      <c r="H16" s="37">
        <v>57446640.700000003</v>
      </c>
      <c r="I16" s="37">
        <v>57446640.700000003</v>
      </c>
      <c r="J16" s="37"/>
      <c r="K16" s="37"/>
      <c r="L16" s="37"/>
      <c r="M16" s="37">
        <v>60224601.159900002</v>
      </c>
      <c r="N16" s="38">
        <f>IF(I16=0,0,M16/I16*100)</f>
        <v>104.83572307457831</v>
      </c>
      <c r="O16" s="38">
        <f>IF(H16=0,0,M16/H16*100)</f>
        <v>104.83572307457831</v>
      </c>
    </row>
    <row r="17" spans="1:15">
      <c r="A17" s="31"/>
      <c r="B17" s="31"/>
      <c r="C17" s="31"/>
      <c r="D17" s="31"/>
      <c r="E17" s="32" t="s">
        <v>31</v>
      </c>
      <c r="F17" s="33">
        <v>2967000000</v>
      </c>
      <c r="G17" s="33">
        <v>3232575144</v>
      </c>
      <c r="H17" s="33">
        <v>3232575144</v>
      </c>
      <c r="I17" s="33">
        <v>3232575144</v>
      </c>
      <c r="J17" s="33"/>
      <c r="K17" s="33"/>
      <c r="L17" s="33"/>
      <c r="M17" s="33">
        <v>2855574097.4400001</v>
      </c>
      <c r="N17" s="34">
        <f>IF(I17=0,0,M17/I17*100)</f>
        <v>88.337439045778922</v>
      </c>
      <c r="O17" s="34">
        <f>IF(H17=0,0,M17/H17*100)</f>
        <v>88.337439045778922</v>
      </c>
    </row>
    <row r="18" spans="1:15">
      <c r="A18" s="35" t="s">
        <v>32</v>
      </c>
      <c r="B18" s="35"/>
      <c r="C18" s="35"/>
      <c r="D18" s="35"/>
      <c r="E18" s="36" t="s">
        <v>33</v>
      </c>
      <c r="F18" s="37">
        <v>2967000000</v>
      </c>
      <c r="G18" s="37">
        <v>3232575144</v>
      </c>
      <c r="H18" s="37">
        <v>3232575144</v>
      </c>
      <c r="I18" s="37">
        <v>3232575144</v>
      </c>
      <c r="J18" s="37"/>
      <c r="K18" s="37"/>
      <c r="L18" s="37"/>
      <c r="M18" s="37">
        <v>2855574097.4400001</v>
      </c>
      <c r="N18" s="38">
        <f>IF(I18=0,0,M18/I18*100)</f>
        <v>88.337439045778922</v>
      </c>
      <c r="O18" s="38">
        <f>IF(H18=0,0,M18/H18*100)</f>
        <v>88.337439045778922</v>
      </c>
    </row>
    <row r="19" spans="1:15" ht="12">
      <c r="A19" s="27"/>
      <c r="B19" s="27"/>
      <c r="C19" s="27"/>
      <c r="D19" s="27"/>
      <c r="E19" s="28" t="s">
        <v>34</v>
      </c>
      <c r="F19" s="29">
        <v>9344201130.2000008</v>
      </c>
      <c r="G19" s="29">
        <v>10731480022.299999</v>
      </c>
      <c r="H19" s="29">
        <v>9616505824.7999992</v>
      </c>
      <c r="I19" s="29">
        <v>9616505824.7999992</v>
      </c>
      <c r="J19" s="29">
        <v>9616505824.7999992</v>
      </c>
      <c r="K19" s="29">
        <v>9447490240.4577999</v>
      </c>
      <c r="L19" s="29">
        <f>K19-M19</f>
        <v>13745348.471199036</v>
      </c>
      <c r="M19" s="29">
        <v>9433744891.9866009</v>
      </c>
      <c r="N19" s="30">
        <f>IF(I19=0,0,M19/I19*100)</f>
        <v>98.099507907102009</v>
      </c>
      <c r="O19" s="30">
        <f>IF(H19=0,0,M19/H19*100)</f>
        <v>98.099507907102009</v>
      </c>
    </row>
    <row r="20" spans="1:15">
      <c r="A20" s="35" t="s">
        <v>35</v>
      </c>
      <c r="B20" s="35"/>
      <c r="C20" s="35"/>
      <c r="D20" s="35"/>
      <c r="E20" s="36" t="s">
        <v>36</v>
      </c>
      <c r="F20" s="37">
        <v>530967337.5</v>
      </c>
      <c r="G20" s="37">
        <v>552331753</v>
      </c>
      <c r="H20" s="37">
        <v>627387276.29999995</v>
      </c>
      <c r="I20" s="37">
        <v>627387276.29999995</v>
      </c>
      <c r="J20" s="37">
        <v>627387276.29999995</v>
      </c>
      <c r="K20" s="37">
        <v>624006701.005</v>
      </c>
      <c r="L20" s="37">
        <f>K20-M20</f>
        <v>1522355.0290000439</v>
      </c>
      <c r="M20" s="37">
        <v>622484345.97599995</v>
      </c>
      <c r="N20" s="38">
        <f>IF(I20=0,0,M20/I20*100)</f>
        <v>99.218516136808688</v>
      </c>
      <c r="O20" s="38">
        <f>IF(H20=0,0,M20/H20*100)</f>
        <v>99.218516136808688</v>
      </c>
    </row>
    <row r="21" spans="1:15">
      <c r="A21" s="35" t="s">
        <v>37</v>
      </c>
      <c r="B21" s="35"/>
      <c r="C21" s="35"/>
      <c r="D21" s="35"/>
      <c r="E21" s="36" t="s">
        <v>38</v>
      </c>
      <c r="F21" s="37">
        <v>408291423.89999998</v>
      </c>
      <c r="G21" s="37">
        <v>467875655.80000001</v>
      </c>
      <c r="H21" s="37">
        <v>467886821.80000001</v>
      </c>
      <c r="I21" s="37">
        <v>467886821.80000001</v>
      </c>
      <c r="J21" s="37">
        <v>467886821.80000001</v>
      </c>
      <c r="K21" s="37">
        <v>438744307.91369998</v>
      </c>
      <c r="L21" s="37">
        <f>K21-M21</f>
        <v>244906.55889999866</v>
      </c>
      <c r="M21" s="37">
        <v>438499401.35479999</v>
      </c>
      <c r="N21" s="38">
        <f>IF(I21=0,0,M21/I21*100)</f>
        <v>93.719117727628202</v>
      </c>
      <c r="O21" s="38">
        <f>IF(H21=0,0,M21/H21*100)</f>
        <v>93.719117727628202</v>
      </c>
    </row>
    <row r="22" spans="1:15" ht="22.5">
      <c r="A22" s="35" t="s">
        <v>39</v>
      </c>
      <c r="B22" s="35"/>
      <c r="C22" s="35"/>
      <c r="D22" s="35"/>
      <c r="E22" s="36" t="s">
        <v>40</v>
      </c>
      <c r="F22" s="37">
        <v>539428201</v>
      </c>
      <c r="G22" s="37">
        <v>587193061.20000005</v>
      </c>
      <c r="H22" s="37">
        <v>586741807.89999998</v>
      </c>
      <c r="I22" s="37">
        <v>586741807.89999998</v>
      </c>
      <c r="J22" s="37">
        <v>586741807.89999998</v>
      </c>
      <c r="K22" s="37">
        <v>585055600.34490001</v>
      </c>
      <c r="L22" s="37">
        <f>K22-M22</f>
        <v>886099.06430006027</v>
      </c>
      <c r="M22" s="37">
        <v>584169501.28059995</v>
      </c>
      <c r="N22" s="38">
        <f>IF(I22=0,0,M22/I22*100)</f>
        <v>99.561594796081337</v>
      </c>
      <c r="O22" s="38">
        <f>IF(H22=0,0,M22/H22*100)</f>
        <v>99.561594796081337</v>
      </c>
    </row>
    <row r="23" spans="1:15">
      <c r="A23" s="35" t="s">
        <v>41</v>
      </c>
      <c r="B23" s="35"/>
      <c r="C23" s="35"/>
      <c r="D23" s="35"/>
      <c r="E23" s="36" t="s">
        <v>42</v>
      </c>
      <c r="F23" s="37">
        <v>1582501607.0999999</v>
      </c>
      <c r="G23" s="37">
        <v>1842723526</v>
      </c>
      <c r="H23" s="37">
        <v>1675136720</v>
      </c>
      <c r="I23" s="37">
        <v>1675136720</v>
      </c>
      <c r="J23" s="37">
        <v>1675136720</v>
      </c>
      <c r="K23" s="37">
        <v>1670756082.2100999</v>
      </c>
      <c r="L23" s="37">
        <f>K23-M23</f>
        <v>1357924.1793999672</v>
      </c>
      <c r="M23" s="37">
        <v>1669398158.0307</v>
      </c>
      <c r="N23" s="38">
        <f>IF(I23=0,0,M23/I23*100)</f>
        <v>99.657427247532368</v>
      </c>
      <c r="O23" s="38">
        <f>IF(H23=0,0,M23/H23*100)</f>
        <v>99.657427247532368</v>
      </c>
    </row>
    <row r="24" spans="1:15">
      <c r="A24" s="35" t="s">
        <v>43</v>
      </c>
      <c r="B24" s="35"/>
      <c r="C24" s="35"/>
      <c r="D24" s="35"/>
      <c r="E24" s="36" t="s">
        <v>44</v>
      </c>
      <c r="F24" s="37">
        <v>1249034829</v>
      </c>
      <c r="G24" s="37">
        <v>1439095396.5</v>
      </c>
      <c r="H24" s="37">
        <v>1045277023.1</v>
      </c>
      <c r="I24" s="37">
        <v>1045277023.1</v>
      </c>
      <c r="J24" s="37">
        <v>1045277023.1</v>
      </c>
      <c r="K24" s="37">
        <v>1042094977.5627</v>
      </c>
      <c r="L24" s="37">
        <f>K24-M24</f>
        <v>2519270.2096999884</v>
      </c>
      <c r="M24" s="37">
        <v>1039575707.353</v>
      </c>
      <c r="N24" s="38">
        <f>IF(I24=0,0,M24/I24*100)</f>
        <v>99.454564137448315</v>
      </c>
      <c r="O24" s="38">
        <f>IF(H24=0,0,M24/H24*100)</f>
        <v>99.454564137448315</v>
      </c>
    </row>
    <row r="25" spans="1:15">
      <c r="A25" s="35" t="s">
        <v>45</v>
      </c>
      <c r="B25" s="35"/>
      <c r="C25" s="35"/>
      <c r="D25" s="35"/>
      <c r="E25" s="36" t="s">
        <v>46</v>
      </c>
      <c r="F25" s="37">
        <v>1997737831.9000001</v>
      </c>
      <c r="G25" s="37">
        <v>2042502757.4000001</v>
      </c>
      <c r="H25" s="37">
        <v>1978582975.5</v>
      </c>
      <c r="I25" s="37">
        <v>1978582975.5</v>
      </c>
      <c r="J25" s="37">
        <v>1978582975.5</v>
      </c>
      <c r="K25" s="37">
        <v>1977344055.0072</v>
      </c>
      <c r="L25" s="37">
        <f>K25-M25</f>
        <v>29285.503400087357</v>
      </c>
      <c r="M25" s="37">
        <v>1977314769.5037999</v>
      </c>
      <c r="N25" s="38">
        <f>IF(I25=0,0,M25/I25*100)</f>
        <v>99.935903320108181</v>
      </c>
      <c r="O25" s="38">
        <f>IF(H25=0,0,M25/H25*100)</f>
        <v>99.935903320108181</v>
      </c>
    </row>
    <row r="26" spans="1:15">
      <c r="A26" s="35" t="s">
        <v>47</v>
      </c>
      <c r="B26" s="35"/>
      <c r="C26" s="35"/>
      <c r="D26" s="35"/>
      <c r="E26" s="36" t="s">
        <v>48</v>
      </c>
      <c r="F26" s="37">
        <v>359014373.69999999</v>
      </c>
      <c r="G26" s="37">
        <v>609074948.70000005</v>
      </c>
      <c r="H26" s="37">
        <v>513997826.10000002</v>
      </c>
      <c r="I26" s="37">
        <v>513997826.10000002</v>
      </c>
      <c r="J26" s="37">
        <v>513997826.10000002</v>
      </c>
      <c r="K26" s="37">
        <v>509938771.34219998</v>
      </c>
      <c r="L26" s="37">
        <f>K26-M26</f>
        <v>2754186.7707999945</v>
      </c>
      <c r="M26" s="37">
        <v>507184584.57139999</v>
      </c>
      <c r="N26" s="38">
        <f>IF(I26=0,0,M26/I26*100)</f>
        <v>98.6744610224724</v>
      </c>
      <c r="O26" s="38">
        <f>IF(H26=0,0,M26/H26*100)</f>
        <v>98.6744610224724</v>
      </c>
    </row>
    <row r="27" spans="1:15">
      <c r="A27" s="35" t="s">
        <v>49</v>
      </c>
      <c r="B27" s="35"/>
      <c r="C27" s="35"/>
      <c r="D27" s="35"/>
      <c r="E27" s="36" t="s">
        <v>50</v>
      </c>
      <c r="F27" s="37">
        <v>277957318.60000002</v>
      </c>
      <c r="G27" s="37">
        <v>357972660</v>
      </c>
      <c r="H27" s="37">
        <v>332138322</v>
      </c>
      <c r="I27" s="37">
        <v>332138322</v>
      </c>
      <c r="J27" s="37">
        <v>332138322</v>
      </c>
      <c r="K27" s="37">
        <v>327675137.12480003</v>
      </c>
      <c r="L27" s="37">
        <f>K27-M27</f>
        <v>1021858.0937000513</v>
      </c>
      <c r="M27" s="37">
        <v>326653279.03109998</v>
      </c>
      <c r="N27" s="38">
        <f>IF(I27=0,0,M27/I27*100)</f>
        <v>98.348566664674124</v>
      </c>
      <c r="O27" s="38">
        <f>IF(H27=0,0,M27/H27*100)</f>
        <v>98.348566664674124</v>
      </c>
    </row>
    <row r="28" spans="1:15">
      <c r="A28" s="35" t="s">
        <v>51</v>
      </c>
      <c r="B28" s="35"/>
      <c r="C28" s="35"/>
      <c r="D28" s="35"/>
      <c r="E28" s="36" t="s">
        <v>52</v>
      </c>
      <c r="F28" s="37">
        <v>106435294</v>
      </c>
      <c r="G28" s="37">
        <v>137686903.59999999</v>
      </c>
      <c r="H28" s="37">
        <v>100886865</v>
      </c>
      <c r="I28" s="37">
        <v>100886865</v>
      </c>
      <c r="J28" s="37">
        <v>100886865</v>
      </c>
      <c r="K28" s="37">
        <v>100752818.7516</v>
      </c>
      <c r="L28" s="37">
        <f>K28-M28</f>
        <v>329448.95329999924</v>
      </c>
      <c r="M28" s="37">
        <v>100423369.7983</v>
      </c>
      <c r="N28" s="38">
        <f>IF(I28=0,0,M28/I28*100)</f>
        <v>99.540579240221206</v>
      </c>
      <c r="O28" s="38">
        <f>IF(H28=0,0,M28/H28*100)</f>
        <v>99.540579240221206</v>
      </c>
    </row>
    <row r="29" spans="1:15" ht="33.75">
      <c r="A29" s="35" t="s">
        <v>53</v>
      </c>
      <c r="B29" s="35"/>
      <c r="C29" s="35"/>
      <c r="D29" s="35"/>
      <c r="E29" s="36" t="s">
        <v>54</v>
      </c>
      <c r="F29" s="37">
        <v>344137992.30000001</v>
      </c>
      <c r="G29" s="37">
        <v>511345151.39999998</v>
      </c>
      <c r="H29" s="37">
        <v>418882563.69999999</v>
      </c>
      <c r="I29" s="37">
        <v>418882563.69999999</v>
      </c>
      <c r="J29" s="37">
        <v>418882563.69999999</v>
      </c>
      <c r="K29" s="37">
        <v>415189354.45520002</v>
      </c>
      <c r="L29" s="37">
        <f>K29-M29</f>
        <v>660863.09430003166</v>
      </c>
      <c r="M29" s="37">
        <v>414528491.36089998</v>
      </c>
      <c r="N29" s="38">
        <f>IF(I29=0,0,M29/I29*100)</f>
        <v>98.960550589492101</v>
      </c>
      <c r="O29" s="38">
        <f>IF(H29=0,0,M29/H29*100)</f>
        <v>98.960550589492101</v>
      </c>
    </row>
    <row r="30" spans="1:15" ht="22.5">
      <c r="A30" s="35" t="s">
        <v>55</v>
      </c>
      <c r="B30" s="35"/>
      <c r="C30" s="35"/>
      <c r="D30" s="35"/>
      <c r="E30" s="36" t="s">
        <v>56</v>
      </c>
      <c r="F30" s="37">
        <v>20859579</v>
      </c>
      <c r="G30" s="37">
        <v>23887805.300000001</v>
      </c>
      <c r="H30" s="37">
        <v>46605381.700000003</v>
      </c>
      <c r="I30" s="37">
        <v>46605381.700000003</v>
      </c>
      <c r="J30" s="37">
        <v>46605381.700000003</v>
      </c>
      <c r="K30" s="37">
        <v>46476018.156900004</v>
      </c>
      <c r="L30" s="37">
        <f>K30-M30</f>
        <v>152093.01580000669</v>
      </c>
      <c r="M30" s="37">
        <v>46323925.141099997</v>
      </c>
      <c r="N30" s="38">
        <f>IF(I30=0,0,M30/I30*100)</f>
        <v>99.396085712350242</v>
      </c>
      <c r="O30" s="38">
        <f>IF(H30=0,0,M30/H30*100)</f>
        <v>99.396085712350242</v>
      </c>
    </row>
    <row r="31" spans="1:15">
      <c r="A31" s="35" t="s">
        <v>57</v>
      </c>
      <c r="B31" s="35"/>
      <c r="C31" s="35"/>
      <c r="D31" s="35"/>
      <c r="E31" s="36" t="s">
        <v>58</v>
      </c>
      <c r="F31" s="37">
        <v>708158262</v>
      </c>
      <c r="G31" s="37">
        <v>780473841.10000002</v>
      </c>
      <c r="H31" s="37">
        <v>767005559.89999998</v>
      </c>
      <c r="I31" s="37">
        <v>767005559.89999998</v>
      </c>
      <c r="J31" s="37">
        <v>767005559.89999998</v>
      </c>
      <c r="K31" s="37">
        <v>762550698.45869994</v>
      </c>
      <c r="L31" s="37">
        <f>K31-M31</f>
        <v>560216.31689989567</v>
      </c>
      <c r="M31" s="37">
        <v>761990482.14180005</v>
      </c>
      <c r="N31" s="38">
        <f>IF(I31=0,0,M31/I31*100)</f>
        <v>99.34614844788689</v>
      </c>
      <c r="O31" s="38">
        <f>IF(H31=0,0,M31/H31*100)</f>
        <v>99.34614844788689</v>
      </c>
    </row>
    <row r="32" spans="1:15">
      <c r="A32" s="35" t="s">
        <v>59</v>
      </c>
      <c r="B32" s="35"/>
      <c r="C32" s="35"/>
      <c r="D32" s="35"/>
      <c r="E32" s="36" t="s">
        <v>60</v>
      </c>
      <c r="F32" s="37">
        <v>758422413.20000005</v>
      </c>
      <c r="G32" s="37">
        <v>816170080.5</v>
      </c>
      <c r="H32" s="37">
        <v>492838825</v>
      </c>
      <c r="I32" s="37">
        <v>492838825</v>
      </c>
      <c r="J32" s="37">
        <v>492838825</v>
      </c>
      <c r="K32" s="37">
        <v>411887883.50559998</v>
      </c>
      <c r="L32" s="37">
        <f>K32-M32</f>
        <v>1706841.6781999469</v>
      </c>
      <c r="M32" s="37">
        <v>410181041.82740003</v>
      </c>
      <c r="N32" s="38">
        <f>IF(I32=0,0,M32/I32*100)</f>
        <v>83.228232237466287</v>
      </c>
      <c r="O32" s="38">
        <f>IF(H32=0,0,M32/H32*100)</f>
        <v>83.228232237466287</v>
      </c>
    </row>
    <row r="33" spans="1:15">
      <c r="A33" s="35" t="s">
        <v>61</v>
      </c>
      <c r="B33" s="35"/>
      <c r="C33" s="35"/>
      <c r="D33" s="35"/>
      <c r="E33" s="36" t="s">
        <v>62</v>
      </c>
      <c r="F33" s="37">
        <v>451468394</v>
      </c>
      <c r="G33" s="37">
        <v>551313998.10000002</v>
      </c>
      <c r="H33" s="37">
        <v>551313998.10000002</v>
      </c>
      <c r="I33" s="37">
        <v>551313998.10000002</v>
      </c>
      <c r="J33" s="37">
        <v>551313998.10000002</v>
      </c>
      <c r="K33" s="37">
        <v>523213632.03680003</v>
      </c>
      <c r="L33" s="37">
        <f>K33-M33</f>
        <v>0</v>
      </c>
      <c r="M33" s="37">
        <v>523213632.03680003</v>
      </c>
      <c r="N33" s="38">
        <f>IF(I33=0,0,M33/I33*100)</f>
        <v>94.903019665736281</v>
      </c>
      <c r="O33" s="38">
        <f>IF(H33=0,0,M33/H33*100)</f>
        <v>94.903019665736281</v>
      </c>
    </row>
    <row r="34" spans="1:15">
      <c r="A34" s="35" t="s">
        <v>63</v>
      </c>
      <c r="B34" s="35"/>
      <c r="C34" s="35"/>
      <c r="D34" s="35"/>
      <c r="E34" s="36" t="s">
        <v>64</v>
      </c>
      <c r="F34" s="37">
        <v>9786273</v>
      </c>
      <c r="G34" s="37">
        <v>11832483.699999999</v>
      </c>
      <c r="H34" s="37">
        <v>11823858.699999999</v>
      </c>
      <c r="I34" s="37">
        <v>11823858.699999999</v>
      </c>
      <c r="J34" s="37">
        <v>11823858.699999999</v>
      </c>
      <c r="K34" s="37">
        <v>11804202.577099999</v>
      </c>
      <c r="L34" s="37">
        <f>K34-M34</f>
        <v>0</v>
      </c>
      <c r="M34" s="37">
        <v>11804202.577099999</v>
      </c>
      <c r="N34" s="38">
        <f>IF(I34=0,0,M34/I34*100)</f>
        <v>99.833758814286227</v>
      </c>
      <c r="O34" s="38">
        <f>IF(H34=0,0,M34/H34*100)</f>
        <v>99.833758814286227</v>
      </c>
    </row>
    <row r="35" spans="1:15" ht="12">
      <c r="A35" s="27"/>
      <c r="B35" s="27"/>
      <c r="C35" s="27"/>
      <c r="D35" s="27"/>
      <c r="E35" s="28" t="s">
        <v>65</v>
      </c>
      <c r="F35" s="29">
        <v>130692686</v>
      </c>
      <c r="G35" s="29">
        <v>336475554.39999998</v>
      </c>
      <c r="H35" s="29">
        <v>249502656.40000001</v>
      </c>
      <c r="I35" s="29">
        <v>249502656.40000001</v>
      </c>
      <c r="J35" s="29"/>
      <c r="K35" s="29"/>
      <c r="L35" s="29"/>
      <c r="M35" s="29">
        <v>249842192.62099999</v>
      </c>
      <c r="N35" s="30"/>
      <c r="O35" s="30"/>
    </row>
    <row r="36" spans="1:15">
      <c r="A36" s="31"/>
      <c r="B36" s="31"/>
      <c r="C36" s="31"/>
      <c r="D36" s="31"/>
      <c r="E36" s="32" t="s">
        <v>66</v>
      </c>
      <c r="F36" s="33">
        <v>204254217</v>
      </c>
      <c r="G36" s="33">
        <v>409961092</v>
      </c>
      <c r="H36" s="33">
        <v>322988194</v>
      </c>
      <c r="I36" s="33">
        <v>322988194</v>
      </c>
      <c r="J36" s="33">
        <v>322988194</v>
      </c>
      <c r="K36" s="33">
        <v>322610736.68099999</v>
      </c>
      <c r="L36" s="33">
        <f>K36-M36</f>
        <v>0</v>
      </c>
      <c r="M36" s="33">
        <v>322610736.68099999</v>
      </c>
      <c r="N36" s="34">
        <f>IF(I36=0,0,M36/I36*100)</f>
        <v>99.88313587740609</v>
      </c>
      <c r="O36" s="34">
        <f>IF(H36=0,0,M36/H36*100)</f>
        <v>99.88313587740609</v>
      </c>
    </row>
    <row r="37" spans="1:15">
      <c r="A37" s="35" t="s">
        <v>45</v>
      </c>
      <c r="B37" s="35"/>
      <c r="C37" s="35"/>
      <c r="D37" s="35"/>
      <c r="E37" s="36" t="s">
        <v>46</v>
      </c>
      <c r="F37" s="37">
        <v>9226327</v>
      </c>
      <c r="G37" s="37">
        <v>30823827</v>
      </c>
      <c r="H37" s="37">
        <v>30823827</v>
      </c>
      <c r="I37" s="37">
        <v>30823827</v>
      </c>
      <c r="J37" s="37">
        <v>30823827</v>
      </c>
      <c r="K37" s="37">
        <v>30823827</v>
      </c>
      <c r="L37" s="37">
        <f>K37-M37</f>
        <v>0</v>
      </c>
      <c r="M37" s="37">
        <v>30823827</v>
      </c>
      <c r="N37" s="38">
        <f>IF(I37=0,0,M37/I37*100)</f>
        <v>100</v>
      </c>
      <c r="O37" s="38">
        <f>IF(H37=0,0,M37/H37*100)</f>
        <v>100</v>
      </c>
    </row>
    <row r="38" spans="1:15">
      <c r="A38" s="35" t="s">
        <v>47</v>
      </c>
      <c r="B38" s="35"/>
      <c r="C38" s="35"/>
      <c r="D38" s="35"/>
      <c r="E38" s="36" t="s">
        <v>48</v>
      </c>
      <c r="F38" s="37">
        <v>120414066</v>
      </c>
      <c r="G38" s="37">
        <v>193719627</v>
      </c>
      <c r="H38" s="37">
        <v>106749912</v>
      </c>
      <c r="I38" s="37">
        <v>106749912</v>
      </c>
      <c r="J38" s="37">
        <v>106749912</v>
      </c>
      <c r="K38" s="37">
        <v>106392858.71600001</v>
      </c>
      <c r="L38" s="37">
        <f>K38-M38</f>
        <v>0</v>
      </c>
      <c r="M38" s="37">
        <v>106392858.71600001</v>
      </c>
      <c r="N38" s="38">
        <f>IF(I38=0,0,M38/I38*100)</f>
        <v>99.665523580010074</v>
      </c>
      <c r="O38" s="38">
        <f>IF(H38=0,0,M38/H38*100)</f>
        <v>99.665523580010074</v>
      </c>
    </row>
    <row r="39" spans="1:15" ht="33.75">
      <c r="A39" s="35" t="s">
        <v>53</v>
      </c>
      <c r="B39" s="35"/>
      <c r="C39" s="35"/>
      <c r="D39" s="35"/>
      <c r="E39" s="36" t="s">
        <v>54</v>
      </c>
      <c r="F39" s="37">
        <v>67715137</v>
      </c>
      <c r="G39" s="37">
        <v>68856701</v>
      </c>
      <c r="H39" s="37">
        <v>68853518</v>
      </c>
      <c r="I39" s="37">
        <v>68853518</v>
      </c>
      <c r="J39" s="37">
        <v>68853518</v>
      </c>
      <c r="K39" s="37">
        <v>68833114.114999995</v>
      </c>
      <c r="L39" s="37">
        <f>K39-M39</f>
        <v>0</v>
      </c>
      <c r="M39" s="37">
        <v>68833114.114999995</v>
      </c>
      <c r="N39" s="38">
        <f>IF(I39=0,0,M39/I39*100)</f>
        <v>99.97036624185273</v>
      </c>
      <c r="O39" s="38">
        <f>IF(H39=0,0,M39/H39*100)</f>
        <v>99.97036624185273</v>
      </c>
    </row>
    <row r="40" spans="1:15">
      <c r="A40" s="35" t="s">
        <v>57</v>
      </c>
      <c r="B40" s="35"/>
      <c r="C40" s="35"/>
      <c r="D40" s="35"/>
      <c r="E40" s="36" t="s">
        <v>58</v>
      </c>
      <c r="F40" s="37">
        <v>0</v>
      </c>
      <c r="G40" s="37">
        <v>12861805</v>
      </c>
      <c r="H40" s="37">
        <v>12861805</v>
      </c>
      <c r="I40" s="37">
        <v>12861805</v>
      </c>
      <c r="J40" s="37">
        <v>12861805</v>
      </c>
      <c r="K40" s="37">
        <v>12861805</v>
      </c>
      <c r="L40" s="37">
        <f>K40-M40</f>
        <v>0</v>
      </c>
      <c r="M40" s="37">
        <v>12861805</v>
      </c>
      <c r="N40" s="38">
        <f>IF(I40=0,0,M40/I40*100)</f>
        <v>100</v>
      </c>
      <c r="O40" s="38">
        <f>IF(H40=0,0,M40/H40*100)</f>
        <v>100</v>
      </c>
    </row>
    <row r="41" spans="1:15">
      <c r="A41" s="35" t="s">
        <v>59</v>
      </c>
      <c r="B41" s="35"/>
      <c r="C41" s="35"/>
      <c r="D41" s="35"/>
      <c r="E41" s="36" t="s">
        <v>60</v>
      </c>
      <c r="F41" s="37">
        <v>6898687</v>
      </c>
      <c r="G41" s="37">
        <v>103699132</v>
      </c>
      <c r="H41" s="37">
        <v>103699132</v>
      </c>
      <c r="I41" s="37">
        <v>103699132</v>
      </c>
      <c r="J41" s="37">
        <v>103699132</v>
      </c>
      <c r="K41" s="37">
        <v>103699131.8501</v>
      </c>
      <c r="L41" s="37">
        <f>K41-M41</f>
        <v>0</v>
      </c>
      <c r="M41" s="37">
        <v>103699131.8501</v>
      </c>
      <c r="N41" s="38">
        <f>IF(I41=0,0,M41/I41*100)</f>
        <v>99.9999998554472</v>
      </c>
      <c r="O41" s="38">
        <f>IF(H41=0,0,M41/H41*100)</f>
        <v>99.9999998554472</v>
      </c>
    </row>
    <row r="42" spans="1:15">
      <c r="A42" s="31"/>
      <c r="B42" s="31"/>
      <c r="C42" s="31"/>
      <c r="D42" s="31"/>
      <c r="E42" s="32" t="s">
        <v>67</v>
      </c>
      <c r="F42" s="33">
        <v>73561531</v>
      </c>
      <c r="G42" s="33">
        <v>73485537.599999994</v>
      </c>
      <c r="H42" s="33">
        <v>73485537.599999994</v>
      </c>
      <c r="I42" s="33">
        <v>73485537.599999994</v>
      </c>
      <c r="J42" s="33"/>
      <c r="K42" s="33"/>
      <c r="L42" s="33"/>
      <c r="M42" s="33">
        <v>72768544.059699997</v>
      </c>
      <c r="N42" s="34">
        <f>IF(I42=0,0,M42/I42*100)</f>
        <v>99.024306600024119</v>
      </c>
      <c r="O42" s="34">
        <f>IF(H42=0,0,M42/H42*100)</f>
        <v>99.024306600024119</v>
      </c>
    </row>
    <row r="43" spans="1:15">
      <c r="A43" s="35" t="s">
        <v>68</v>
      </c>
      <c r="B43" s="35"/>
      <c r="C43" s="35"/>
      <c r="D43" s="35"/>
      <c r="E43" s="36" t="s">
        <v>69</v>
      </c>
      <c r="F43" s="37">
        <v>73561531</v>
      </c>
      <c r="G43" s="37">
        <v>73485537.599999994</v>
      </c>
      <c r="H43" s="37">
        <v>73485537.599999994</v>
      </c>
      <c r="I43" s="37">
        <v>73485537.599999994</v>
      </c>
      <c r="J43" s="37"/>
      <c r="K43" s="37"/>
      <c r="L43" s="37"/>
      <c r="M43" s="37">
        <v>72768544.059699997</v>
      </c>
      <c r="N43" s="38">
        <f>IF(I43=0,0,M43/I43*100)</f>
        <v>99.024306600024119</v>
      </c>
      <c r="O43" s="38">
        <f>IF(H43=0,0,M43/H43*100)</f>
        <v>99.024306600024119</v>
      </c>
    </row>
    <row r="44" spans="1:15" ht="24">
      <c r="A44" s="27"/>
      <c r="B44" s="27"/>
      <c r="C44" s="27"/>
      <c r="D44" s="27"/>
      <c r="E44" s="28" t="s">
        <v>70</v>
      </c>
      <c r="F44" s="29">
        <v>95744805</v>
      </c>
      <c r="G44" s="29">
        <v>352302497.39999998</v>
      </c>
      <c r="H44" s="29">
        <v>356693658.39999998</v>
      </c>
      <c r="I44" s="29">
        <v>356693658.39999998</v>
      </c>
      <c r="J44" s="29"/>
      <c r="K44" s="29"/>
      <c r="L44" s="29"/>
      <c r="M44" s="29">
        <v>362615727.24199998</v>
      </c>
      <c r="N44" s="30"/>
      <c r="O44" s="30"/>
    </row>
    <row r="45" spans="1:15">
      <c r="A45" s="31"/>
      <c r="B45" s="31"/>
      <c r="C45" s="31"/>
      <c r="D45" s="31"/>
      <c r="E45" s="32" t="s">
        <v>71</v>
      </c>
      <c r="F45" s="33">
        <v>98819569</v>
      </c>
      <c r="G45" s="33">
        <v>364694395.60000002</v>
      </c>
      <c r="H45" s="33">
        <v>369085556.60000002</v>
      </c>
      <c r="I45" s="33">
        <v>369085556.60000002</v>
      </c>
      <c r="J45" s="33">
        <v>369085556.60000002</v>
      </c>
      <c r="K45" s="33">
        <v>368615964.06059998</v>
      </c>
      <c r="L45" s="33">
        <f>K45-M45</f>
        <v>0</v>
      </c>
      <c r="M45" s="33">
        <v>368615964.06059998</v>
      </c>
      <c r="N45" s="34">
        <f>IF(I45=0,0,M45/I45*100)</f>
        <v>99.87276864916474</v>
      </c>
      <c r="O45" s="34">
        <f>IF(H45=0,0,M45/H45*100)</f>
        <v>99.87276864916474</v>
      </c>
    </row>
    <row r="46" spans="1:15">
      <c r="A46" s="35" t="s">
        <v>35</v>
      </c>
      <c r="B46" s="35"/>
      <c r="C46" s="35"/>
      <c r="D46" s="35"/>
      <c r="E46" s="36" t="s">
        <v>36</v>
      </c>
      <c r="F46" s="37">
        <v>11490857</v>
      </c>
      <c r="G46" s="37">
        <v>13735099</v>
      </c>
      <c r="H46" s="37">
        <v>13735099</v>
      </c>
      <c r="I46" s="37">
        <v>13735099</v>
      </c>
      <c r="J46" s="37">
        <v>13735099</v>
      </c>
      <c r="K46" s="37">
        <v>13735098.6774</v>
      </c>
      <c r="L46" s="37">
        <f>K46-M46</f>
        <v>0</v>
      </c>
      <c r="M46" s="37">
        <v>13735098.6774</v>
      </c>
      <c r="N46" s="38">
        <f>IF(I46=0,0,M46/I46*100)</f>
        <v>99.999997651272849</v>
      </c>
      <c r="O46" s="38">
        <f>IF(H46=0,0,M46/H46*100)</f>
        <v>99.999997651272849</v>
      </c>
    </row>
    <row r="47" spans="1:15">
      <c r="A47" s="35" t="s">
        <v>37</v>
      </c>
      <c r="B47" s="35"/>
      <c r="C47" s="35"/>
      <c r="D47" s="35"/>
      <c r="E47" s="36" t="s">
        <v>38</v>
      </c>
      <c r="F47" s="37">
        <v>10377200</v>
      </c>
      <c r="G47" s="37">
        <v>10377200</v>
      </c>
      <c r="H47" s="37">
        <v>10377200</v>
      </c>
      <c r="I47" s="37">
        <v>10377200</v>
      </c>
      <c r="J47" s="37">
        <v>10377200</v>
      </c>
      <c r="K47" s="37">
        <v>10377200</v>
      </c>
      <c r="L47" s="37">
        <f>K47-M47</f>
        <v>0</v>
      </c>
      <c r="M47" s="37">
        <v>10377200</v>
      </c>
      <c r="N47" s="38">
        <f>IF(I47=0,0,M47/I47*100)</f>
        <v>100</v>
      </c>
      <c r="O47" s="38">
        <f>IF(H47=0,0,M47/H47*100)</f>
        <v>100</v>
      </c>
    </row>
    <row r="48" spans="1:15">
      <c r="A48" s="35" t="s">
        <v>41</v>
      </c>
      <c r="B48" s="35"/>
      <c r="C48" s="35"/>
      <c r="D48" s="35"/>
      <c r="E48" s="36" t="s">
        <v>42</v>
      </c>
      <c r="F48" s="37">
        <v>518135</v>
      </c>
      <c r="G48" s="37">
        <v>4340686</v>
      </c>
      <c r="H48" s="37">
        <v>4340686</v>
      </c>
      <c r="I48" s="37">
        <v>4340686</v>
      </c>
      <c r="J48" s="37">
        <v>4340686</v>
      </c>
      <c r="K48" s="37">
        <v>4340686</v>
      </c>
      <c r="L48" s="37">
        <f>K48-M48</f>
        <v>0</v>
      </c>
      <c r="M48" s="37">
        <v>4340686</v>
      </c>
      <c r="N48" s="38">
        <f>IF(I48=0,0,M48/I48*100)</f>
        <v>100</v>
      </c>
      <c r="O48" s="38">
        <f>IF(H48=0,0,M48/H48*100)</f>
        <v>100</v>
      </c>
    </row>
    <row r="49" spans="1:15">
      <c r="A49" s="35" t="s">
        <v>43</v>
      </c>
      <c r="B49" s="35"/>
      <c r="C49" s="35"/>
      <c r="D49" s="35"/>
      <c r="E49" s="36" t="s">
        <v>44</v>
      </c>
      <c r="F49" s="37">
        <v>0</v>
      </c>
      <c r="G49" s="37">
        <v>106050</v>
      </c>
      <c r="H49" s="37">
        <v>106050</v>
      </c>
      <c r="I49" s="37">
        <v>106050</v>
      </c>
      <c r="J49" s="37">
        <v>106050</v>
      </c>
      <c r="K49" s="37">
        <v>106050</v>
      </c>
      <c r="L49" s="37">
        <f>K49-M49</f>
        <v>0</v>
      </c>
      <c r="M49" s="37">
        <v>106050</v>
      </c>
      <c r="N49" s="38">
        <f>IF(I49=0,0,M49/I49*100)</f>
        <v>100</v>
      </c>
      <c r="O49" s="38">
        <f>IF(H49=0,0,M49/H49*100)</f>
        <v>100</v>
      </c>
    </row>
    <row r="50" spans="1:15">
      <c r="A50" s="35" t="s">
        <v>47</v>
      </c>
      <c r="B50" s="35"/>
      <c r="C50" s="35"/>
      <c r="D50" s="35"/>
      <c r="E50" s="36" t="s">
        <v>48</v>
      </c>
      <c r="F50" s="37">
        <v>10452130</v>
      </c>
      <c r="G50" s="37">
        <v>12371161</v>
      </c>
      <c r="H50" s="37">
        <v>17088643</v>
      </c>
      <c r="I50" s="37">
        <v>17088643</v>
      </c>
      <c r="J50" s="37">
        <v>17088643</v>
      </c>
      <c r="K50" s="37">
        <v>17088643</v>
      </c>
      <c r="L50" s="37">
        <f>K50-M50</f>
        <v>0</v>
      </c>
      <c r="M50" s="37">
        <v>17088643</v>
      </c>
      <c r="N50" s="38">
        <f>IF(I50=0,0,M50/I50*100)</f>
        <v>100</v>
      </c>
      <c r="O50" s="38">
        <f>IF(H50=0,0,M50/H50*100)</f>
        <v>100</v>
      </c>
    </row>
    <row r="51" spans="1:15" ht="33.75">
      <c r="A51" s="35" t="s">
        <v>53</v>
      </c>
      <c r="B51" s="35"/>
      <c r="C51" s="35"/>
      <c r="D51" s="35"/>
      <c r="E51" s="36" t="s">
        <v>54</v>
      </c>
      <c r="F51" s="37">
        <v>0</v>
      </c>
      <c r="G51" s="37">
        <v>77409000</v>
      </c>
      <c r="H51" s="37">
        <v>77409000</v>
      </c>
      <c r="I51" s="37">
        <v>77409000</v>
      </c>
      <c r="J51" s="37">
        <v>77409000</v>
      </c>
      <c r="K51" s="37">
        <v>77409000</v>
      </c>
      <c r="L51" s="37">
        <f>K51-M51</f>
        <v>0</v>
      </c>
      <c r="M51" s="37">
        <v>77409000</v>
      </c>
      <c r="N51" s="38">
        <f>IF(I51=0,0,M51/I51*100)</f>
        <v>100</v>
      </c>
      <c r="O51" s="38">
        <f>IF(H51=0,0,M51/H51*100)</f>
        <v>100</v>
      </c>
    </row>
    <row r="52" spans="1:15">
      <c r="A52" s="35" t="s">
        <v>57</v>
      </c>
      <c r="B52" s="35"/>
      <c r="C52" s="35"/>
      <c r="D52" s="35"/>
      <c r="E52" s="36" t="s">
        <v>58</v>
      </c>
      <c r="F52" s="37">
        <v>11707344</v>
      </c>
      <c r="G52" s="37">
        <v>52630038</v>
      </c>
      <c r="H52" s="37">
        <v>52630038</v>
      </c>
      <c r="I52" s="37">
        <v>52630038</v>
      </c>
      <c r="J52" s="37">
        <v>52630038</v>
      </c>
      <c r="K52" s="37">
        <v>52630037.5</v>
      </c>
      <c r="L52" s="37">
        <f>K52-M52</f>
        <v>0</v>
      </c>
      <c r="M52" s="37">
        <v>52630037.5</v>
      </c>
      <c r="N52" s="38">
        <f>IF(I52=0,0,M52/I52*100)</f>
        <v>99.999999049972189</v>
      </c>
      <c r="O52" s="38">
        <f>IF(H52=0,0,M52/H52*100)</f>
        <v>99.999999049972189</v>
      </c>
    </row>
    <row r="53" spans="1:15">
      <c r="A53" s="35" t="s">
        <v>59</v>
      </c>
      <c r="B53" s="35"/>
      <c r="C53" s="35"/>
      <c r="D53" s="35"/>
      <c r="E53" s="36" t="s">
        <v>60</v>
      </c>
      <c r="F53" s="37">
        <v>54273903</v>
      </c>
      <c r="G53" s="37">
        <v>193725161.59999999</v>
      </c>
      <c r="H53" s="37">
        <v>193398840.59999999</v>
      </c>
      <c r="I53" s="37">
        <v>193398840.59999999</v>
      </c>
      <c r="J53" s="37">
        <v>193398840.59999999</v>
      </c>
      <c r="K53" s="37">
        <v>192929248.88319999</v>
      </c>
      <c r="L53" s="37">
        <f>K53-M53</f>
        <v>0</v>
      </c>
      <c r="M53" s="37">
        <v>192929248.88319999</v>
      </c>
      <c r="N53" s="38">
        <f>IF(I53=0,0,M53/I53*100)</f>
        <v>99.757190004167995</v>
      </c>
      <c r="O53" s="38">
        <f>IF(H53=0,0,M53/H53*100)</f>
        <v>99.757190004167995</v>
      </c>
    </row>
    <row r="54" spans="1:15" ht="21">
      <c r="A54" s="31"/>
      <c r="B54" s="31"/>
      <c r="C54" s="31"/>
      <c r="D54" s="31"/>
      <c r="E54" s="32" t="s">
        <v>72</v>
      </c>
      <c r="F54" s="33">
        <v>3074764</v>
      </c>
      <c r="G54" s="33">
        <v>12391898.199999999</v>
      </c>
      <c r="H54" s="33">
        <v>12391898.199999999</v>
      </c>
      <c r="I54" s="33">
        <v>12391898.199999999</v>
      </c>
      <c r="J54" s="33"/>
      <c r="K54" s="33"/>
      <c r="L54" s="33"/>
      <c r="M54" s="33">
        <v>6000236.8187999995</v>
      </c>
      <c r="N54" s="34">
        <f>IF(I54=0,0,M54/I54*100)</f>
        <v>48.420643245761973</v>
      </c>
      <c r="O54" s="34">
        <f>IF(H54=0,0,M54/H54*100)</f>
        <v>48.420643245761973</v>
      </c>
    </row>
    <row r="55" spans="1:15">
      <c r="A55" s="35" t="s">
        <v>73</v>
      </c>
      <c r="B55" s="35"/>
      <c r="C55" s="35"/>
      <c r="D55" s="35"/>
      <c r="E55" s="36" t="s">
        <v>74</v>
      </c>
      <c r="F55" s="37">
        <v>3074764</v>
      </c>
      <c r="G55" s="37">
        <v>12391898.199999999</v>
      </c>
      <c r="H55" s="37">
        <v>12391898.199999999</v>
      </c>
      <c r="I55" s="37">
        <v>12391898.199999999</v>
      </c>
      <c r="J55" s="37"/>
      <c r="K55" s="37"/>
      <c r="L55" s="37"/>
      <c r="M55" s="37">
        <v>6000236.8188500004</v>
      </c>
      <c r="N55" s="38">
        <f>IF(I55=0,0,M55/I55*100)</f>
        <v>48.420643246165476</v>
      </c>
      <c r="O55" s="38">
        <f>IF(H55=0,0,M55/H55*100)</f>
        <v>48.420643246165476</v>
      </c>
    </row>
    <row r="56" spans="1:15" ht="12">
      <c r="A56" s="27"/>
      <c r="B56" s="27"/>
      <c r="C56" s="27"/>
      <c r="D56" s="27"/>
      <c r="E56" s="28" t="s">
        <v>75</v>
      </c>
      <c r="F56" s="29">
        <v>-1351436570</v>
      </c>
      <c r="G56" s="29">
        <v>-2216894823.9000001</v>
      </c>
      <c r="H56" s="29">
        <v>-1019083196.1</v>
      </c>
      <c r="I56" s="29">
        <v>-1019083196.1</v>
      </c>
      <c r="J56" s="29"/>
      <c r="K56" s="29"/>
      <c r="L56" s="29"/>
      <c r="M56" s="29">
        <v>-737717625.16600001</v>
      </c>
      <c r="N56" s="30"/>
      <c r="O56" s="30"/>
    </row>
    <row r="57" spans="1:15" ht="24">
      <c r="A57" s="27"/>
      <c r="B57" s="27"/>
      <c r="C57" s="27"/>
      <c r="D57" s="27"/>
      <c r="E57" s="28" t="s">
        <v>76</v>
      </c>
      <c r="F57" s="29">
        <v>1351436570</v>
      </c>
      <c r="G57" s="29">
        <v>2216894823.9000001</v>
      </c>
      <c r="H57" s="29">
        <v>1019083196.1</v>
      </c>
      <c r="I57" s="29">
        <v>1019083196.1</v>
      </c>
      <c r="J57" s="29"/>
      <c r="K57" s="29"/>
      <c r="L57" s="29"/>
      <c r="M57" s="29">
        <v>737717625.16600001</v>
      </c>
      <c r="N57" s="30"/>
      <c r="O57" s="30"/>
    </row>
    <row r="58" spans="1:15">
      <c r="A58" s="31"/>
      <c r="B58" s="31"/>
      <c r="C58" s="31"/>
      <c r="D58" s="31"/>
      <c r="E58" s="32" t="s">
        <v>77</v>
      </c>
      <c r="F58" s="33">
        <v>1101061188</v>
      </c>
      <c r="G58" s="33">
        <v>1145814313</v>
      </c>
      <c r="H58" s="33">
        <v>1145814313</v>
      </c>
      <c r="I58" s="33">
        <v>1145814313</v>
      </c>
      <c r="J58" s="33"/>
      <c r="K58" s="33"/>
      <c r="L58" s="33"/>
      <c r="M58" s="33">
        <v>1054593289.6</v>
      </c>
      <c r="N58" s="34">
        <f>IF(I58=0,0,M58/I58*100)</f>
        <v>92.038760350168531</v>
      </c>
      <c r="O58" s="34">
        <f>IF(H58=0,0,M58/H58*100)</f>
        <v>92.038760350168531</v>
      </c>
    </row>
    <row r="59" spans="1:15">
      <c r="A59" s="35" t="s">
        <v>78</v>
      </c>
      <c r="B59" s="35"/>
      <c r="C59" s="35"/>
      <c r="D59" s="35"/>
      <c r="E59" s="36" t="s">
        <v>79</v>
      </c>
      <c r="F59" s="37">
        <v>1101061188</v>
      </c>
      <c r="G59" s="37">
        <v>1145814313</v>
      </c>
      <c r="H59" s="37">
        <v>1145814313</v>
      </c>
      <c r="I59" s="37">
        <v>1145814313</v>
      </c>
      <c r="J59" s="37"/>
      <c r="K59" s="37"/>
      <c r="L59" s="37"/>
      <c r="M59" s="37">
        <v>1054593289.6</v>
      </c>
      <c r="N59" s="38">
        <f>IF(I59=0,0,M59/I59*100)</f>
        <v>92.038760350168531</v>
      </c>
      <c r="O59" s="38">
        <f>IF(H59=0,0,M59/H59*100)</f>
        <v>92.038760350168531</v>
      </c>
    </row>
    <row r="60" spans="1:15">
      <c r="A60" s="31"/>
      <c r="B60" s="31"/>
      <c r="C60" s="31"/>
      <c r="D60" s="31"/>
      <c r="E60" s="32" t="s">
        <v>80</v>
      </c>
      <c r="F60" s="33">
        <v>377616373</v>
      </c>
      <c r="G60" s="33">
        <v>384156023</v>
      </c>
      <c r="H60" s="33">
        <v>384156023</v>
      </c>
      <c r="I60" s="33">
        <v>384156023</v>
      </c>
      <c r="J60" s="33">
        <v>384156023</v>
      </c>
      <c r="K60" s="33">
        <v>381176000.19059998</v>
      </c>
      <c r="L60" s="33">
        <f>K60-M60</f>
        <v>0</v>
      </c>
      <c r="M60" s="33">
        <v>381176000.19059998</v>
      </c>
      <c r="N60" s="34">
        <f>IF(I60=0,0,M60/I60*100)</f>
        <v>99.224267581143707</v>
      </c>
      <c r="O60" s="34">
        <f>IF(H60=0,0,M60/H60*100)</f>
        <v>99.224267581143707</v>
      </c>
    </row>
    <row r="61" spans="1:15">
      <c r="A61" s="35" t="s">
        <v>81</v>
      </c>
      <c r="B61" s="35"/>
      <c r="C61" s="35"/>
      <c r="D61" s="35"/>
      <c r="E61" s="36" t="s">
        <v>82</v>
      </c>
      <c r="F61" s="37">
        <v>377616373</v>
      </c>
      <c r="G61" s="37">
        <v>384156023</v>
      </c>
      <c r="H61" s="37">
        <v>384156023</v>
      </c>
      <c r="I61" s="37">
        <v>384156023</v>
      </c>
      <c r="J61" s="37">
        <v>384156023</v>
      </c>
      <c r="K61" s="37">
        <v>381176000.19059998</v>
      </c>
      <c r="L61" s="37">
        <f>K61-M61</f>
        <v>0</v>
      </c>
      <c r="M61" s="37">
        <v>381176000.19059998</v>
      </c>
      <c r="N61" s="38">
        <f>IF(I61=0,0,M61/I61*100)</f>
        <v>99.224267581143707</v>
      </c>
      <c r="O61" s="38">
        <f>IF(H61=0,0,M61/H61*100)</f>
        <v>99.224267581143707</v>
      </c>
    </row>
    <row r="62" spans="1:15">
      <c r="A62" s="31"/>
      <c r="B62" s="31"/>
      <c r="C62" s="31"/>
      <c r="D62" s="31"/>
      <c r="E62" s="32" t="s">
        <v>83</v>
      </c>
      <c r="F62" s="33">
        <v>627991755</v>
      </c>
      <c r="G62" s="33">
        <v>1455236533.9000001</v>
      </c>
      <c r="H62" s="33">
        <v>257424906.09999999</v>
      </c>
      <c r="I62" s="33">
        <v>257424906.09999999</v>
      </c>
      <c r="J62" s="33"/>
      <c r="K62" s="33"/>
      <c r="L62" s="33"/>
      <c r="M62" s="33">
        <v>64300335.756999999</v>
      </c>
      <c r="N62" s="34"/>
      <c r="O62" s="34"/>
    </row>
    <row r="63" spans="1:15" ht="24">
      <c r="A63" s="27"/>
      <c r="B63" s="27"/>
      <c r="C63" s="27"/>
      <c r="D63" s="27"/>
      <c r="E63" s="28" t="s">
        <v>84</v>
      </c>
      <c r="F63" s="29"/>
      <c r="G63" s="29"/>
      <c r="H63" s="29"/>
      <c r="I63" s="29"/>
      <c r="J63" s="29"/>
      <c r="K63" s="29"/>
      <c r="L63" s="29"/>
      <c r="M63" s="29"/>
      <c r="N63" s="30"/>
      <c r="O63" s="30"/>
    </row>
    <row r="64" spans="1:15">
      <c r="A64" s="31"/>
      <c r="B64" s="31"/>
      <c r="C64" s="31"/>
      <c r="D64" s="31"/>
      <c r="E64" s="32" t="s">
        <v>85</v>
      </c>
      <c r="F64" s="33"/>
      <c r="G64" s="33"/>
      <c r="H64" s="33"/>
      <c r="I64" s="33"/>
      <c r="J64" s="33"/>
      <c r="K64" s="33"/>
      <c r="L64" s="33"/>
      <c r="M64" s="33">
        <v>357785952.29449999</v>
      </c>
      <c r="N64" s="34"/>
      <c r="O64" s="34"/>
    </row>
    <row r="65" spans="1:15">
      <c r="A65" s="31"/>
      <c r="B65" s="31"/>
      <c r="C65" s="31"/>
      <c r="D65" s="31"/>
      <c r="E65" s="32" t="s">
        <v>86</v>
      </c>
      <c r="F65" s="33"/>
      <c r="G65" s="33"/>
      <c r="H65" s="33"/>
      <c r="I65" s="33"/>
      <c r="J65" s="33"/>
      <c r="K65" s="33"/>
      <c r="L65" s="33"/>
      <c r="M65" s="33">
        <v>293485616.537</v>
      </c>
      <c r="N65" s="34"/>
      <c r="O65" s="34"/>
    </row>
    <row r="69" spans="1:15" ht="12">
      <c r="A69" s="39"/>
      <c r="B69" s="40"/>
      <c r="C69" s="40"/>
      <c r="D69" s="40"/>
      <c r="E69" s="41"/>
      <c r="F69" s="41"/>
      <c r="G69" s="41"/>
      <c r="H69" s="41"/>
      <c r="I69" s="41"/>
      <c r="J69" s="41"/>
      <c r="K69" s="41"/>
      <c r="L69" s="41"/>
    </row>
  </sheetData>
  <mergeCells count="14">
    <mergeCell ref="K7:K8"/>
    <mergeCell ref="L7:L8"/>
    <mergeCell ref="M7:M8"/>
    <mergeCell ref="O7:O8"/>
    <mergeCell ref="N7:N8"/>
    <mergeCell ref="A1:O1"/>
    <mergeCell ref="A2:O2"/>
    <mergeCell ref="A9:D9"/>
    <mergeCell ref="A7:D8"/>
    <mergeCell ref="H7:H8"/>
    <mergeCell ref="E7:E8"/>
    <mergeCell ref="F7:F8"/>
    <mergeCell ref="G7:G8"/>
    <mergeCell ref="I7:J7"/>
  </mergeCells>
  <phoneticPr fontId="0" type="noConversion"/>
  <printOptions horizontalCentered="1"/>
  <pageMargins left="0.19685039370078741" right="0.19685039370078741" top="0.78740157480314965" bottom="0.35433070866141736" header="0.39370078740157483" footer="0.19685039370078741"/>
  <pageSetup paperSize="9" scale="74" fitToHeight="0" orientation="landscape" r:id="rId1"/>
  <headerFooter alignWithMargins="0">
    <oddHeader>&amp;L&amp;",курсив"&amp;6 Отчет об исполнении с обяз.(прил 4)&amp;R&amp;",курсив"&amp;6 07.02.2017 11:03:40</oddHeader>
    <oddFooter>&amp;R&amp;8&amp;С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</vt:lpstr>
      <vt:lpstr>Отчет!Заголовки_для_печати</vt:lpstr>
    </vt:vector>
  </TitlesOfParts>
  <Company>RR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zturlybekova</dc:creator>
  <cp:lastModifiedBy>zturlybekova</cp:lastModifiedBy>
  <cp:lastPrinted>2005-07-07T05:40:05Z</cp:lastPrinted>
  <dcterms:created xsi:type="dcterms:W3CDTF">2003-05-20T10:03:43Z</dcterms:created>
  <dcterms:modified xsi:type="dcterms:W3CDTF">2017-02-07T06:06:32Z</dcterms:modified>
</cp:coreProperties>
</file>