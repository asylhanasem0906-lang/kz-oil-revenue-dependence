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120" yWindow="30" windowWidth="15180" windowHeight="10110"/>
  </bookViews>
  <sheets>
    <sheet name="Отчет" sheetId="1" r:id="rId1"/>
  </sheets>
  <definedNames>
    <definedName name="_xlnm.Print_Titles" localSheetId="0">Отчет!$7:$9</definedName>
  </definedNames>
  <calcPr calcId="124519" fullCalcOnLoad="1"/>
</workbook>
</file>

<file path=xl/calcChain.xml><?xml version="1.0" encoding="utf-8"?>
<calcChain xmlns="http://schemas.openxmlformats.org/spreadsheetml/2006/main">
  <c r="M10" i="1"/>
  <c r="N10"/>
  <c r="M11"/>
  <c r="N11"/>
  <c r="M12"/>
  <c r="N12"/>
  <c r="M13"/>
  <c r="N13"/>
  <c r="M14"/>
  <c r="N14"/>
  <c r="M15"/>
  <c r="N15"/>
  <c r="M16"/>
  <c r="N16"/>
  <c r="M17"/>
  <c r="N17"/>
  <c r="M18"/>
  <c r="N18"/>
  <c r="K19"/>
  <c r="M19"/>
  <c r="N19"/>
  <c r="K20"/>
  <c r="M20"/>
  <c r="N20"/>
  <c r="K21"/>
  <c r="M21"/>
  <c r="N21"/>
  <c r="K22"/>
  <c r="M22"/>
  <c r="N22"/>
  <c r="K23"/>
  <c r="M23"/>
  <c r="N23"/>
  <c r="K24"/>
  <c r="M24"/>
  <c r="N24"/>
  <c r="K25"/>
  <c r="M25"/>
  <c r="N25"/>
  <c r="K26"/>
  <c r="M26"/>
  <c r="N26"/>
  <c r="K27"/>
  <c r="M27"/>
  <c r="N27"/>
  <c r="K28"/>
  <c r="M28"/>
  <c r="N28"/>
  <c r="K29"/>
  <c r="M29"/>
  <c r="N29"/>
  <c r="K30"/>
  <c r="M30"/>
  <c r="N30"/>
  <c r="K31"/>
  <c r="M31"/>
  <c r="N31"/>
  <c r="K32"/>
  <c r="M32"/>
  <c r="N32"/>
  <c r="K33"/>
  <c r="M33"/>
  <c r="N33"/>
  <c r="K34"/>
  <c r="M34"/>
  <c r="N34"/>
  <c r="K36"/>
  <c r="M36"/>
  <c r="N36"/>
  <c r="K37"/>
  <c r="M37"/>
  <c r="N37"/>
  <c r="K38"/>
  <c r="M38"/>
  <c r="N38"/>
  <c r="K39"/>
  <c r="M39"/>
  <c r="N39"/>
  <c r="K40"/>
  <c r="M40"/>
  <c r="N40"/>
  <c r="M41"/>
  <c r="N41"/>
  <c r="M42"/>
  <c r="N42"/>
  <c r="K44"/>
  <c r="M44"/>
  <c r="N44"/>
  <c r="K45"/>
  <c r="M45"/>
  <c r="N45"/>
  <c r="K46"/>
  <c r="M46"/>
  <c r="N46"/>
  <c r="K47"/>
  <c r="M47"/>
  <c r="N47"/>
  <c r="M48"/>
  <c r="N48"/>
  <c r="K49"/>
  <c r="M49"/>
  <c r="N49"/>
  <c r="M50"/>
  <c r="N50"/>
  <c r="K51"/>
  <c r="M51"/>
  <c r="N51"/>
  <c r="K52"/>
  <c r="M52"/>
  <c r="N52"/>
  <c r="K53"/>
  <c r="M53"/>
  <c r="N53"/>
  <c r="M54"/>
  <c r="N54"/>
  <c r="M55"/>
  <c r="N55"/>
  <c r="M58"/>
  <c r="N58"/>
  <c r="M59"/>
  <c r="N59"/>
  <c r="K60"/>
  <c r="M60"/>
  <c r="N60"/>
  <c r="K61"/>
  <c r="M61"/>
  <c r="N61"/>
</calcChain>
</file>

<file path=xl/sharedStrings.xml><?xml version="1.0" encoding="utf-8"?>
<sst xmlns="http://schemas.openxmlformats.org/spreadsheetml/2006/main" count="113" uniqueCount="87">
  <si>
    <t>Отчет об исполнении государственного бюджета</t>
  </si>
  <si>
    <t xml:space="preserve">за   2015 год  </t>
  </si>
  <si>
    <t xml:space="preserve">  </t>
  </si>
  <si>
    <t xml:space="preserve">Периодичность </t>
  </si>
  <si>
    <t xml:space="preserve">годовая </t>
  </si>
  <si>
    <t xml:space="preserve">Единица измерения </t>
  </si>
  <si>
    <t xml:space="preserve">тыс.тенге </t>
  </si>
  <si>
    <t xml:space="preserve">Коды бюджетной классификации </t>
  </si>
  <si>
    <t xml:space="preserve">Наименование </t>
  </si>
  <si>
    <t xml:space="preserve">Утвержденный бюджет на отчетный финансовый год </t>
  </si>
  <si>
    <t xml:space="preserve">Уточненный бюджет на отчетный финансовый год </t>
  </si>
  <si>
    <t xml:space="preserve">Сводный план поступлений и финансирования по платежам, сводный план финансирования по обязательствам на отчетный период </t>
  </si>
  <si>
    <t xml:space="preserve">Принятые обязательства </t>
  </si>
  <si>
    <t xml:space="preserve">Неоплаченные обязательства </t>
  </si>
  <si>
    <t xml:space="preserve">Исполнение поступлениий бюджета и/или оплаченных обязательств по бюджетным программам (подпрограммам) </t>
  </si>
  <si>
    <t xml:space="preserve">Исп-е поступ-ий бюджета и/или оплач. обяз-в по бюдж. прогр. (подпрогр.)  к свод. плану  поступ-ий и финанс-ия  на отчет. период, % </t>
  </si>
  <si>
    <t xml:space="preserve">Исп-е поступ-ий бюджета и/или оплач. обяз-ва по бюдж. прогр. (подпрогр.) к исполняемому бюджету, % </t>
  </si>
  <si>
    <t xml:space="preserve">по платежам </t>
  </si>
  <si>
    <t xml:space="preserve">по обязательствам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</si>
  <si>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</si>
  <si>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</si>
  <si>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</si>
  <si>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</si>
  <si>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</si>
  <si>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</si>
  <si>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</si>
  <si>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</si>
  <si>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</si>
  <si>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</si>
  <si>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</si>
  <si>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ПОСТУПЛЕНИЯ ТРАНСФЕРТОВ</t>
  </si>
  <si>
    <t>4</t>
  </si>
  <si>
    <t>Поступления трансфертов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</si>
  <si>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</si>
  <si>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</si>
  <si>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</si>
  <si>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</si>
  <si>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</si>
  <si>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</si>
  <si>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</si>
  <si>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</si>
  <si>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</si>
  <si>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</si>
  <si>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</si>
  <si>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</si>
  <si>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</si>
  <si>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</si>
  <si>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</si>
  <si>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</si>
  <si>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</si>
  <si>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</si>
  <si>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</si>
  <si>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</si>
  <si>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</si>
  <si>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</si>
  <si>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</si>
  <si>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</si>
  <si>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</si>
  <si>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</si>
  <si>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</si>
  <si>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</si>
  <si>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</si>
  <si>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15</t>
  </si>
  <si>
    <t>Трансферты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</si>
  <si>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</si>
  <si>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</si>
  <si>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</si>
  <si>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</si>
  <si>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</si>
  <si>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</si>
  <si>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</si>
  <si>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</si>
  <si>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</si>
  <si>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</si>
  <si>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</si>
  <si>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</si>
  <si>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</si>
  <si>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</si>
  <si>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</si>
  <si>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</si>
  <si>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</si>
  <si>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</si>
  <si>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</si>
  <si>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>Справочно:
Остатки бюджетных средств</t>
  </si>
  <si>
    <t>Остатки бюджетных средств на начало финансового года</t>
  </si>
  <si>
    <t>Остатки бюджетных средств на конец отчетного периода</t>
  </si>
  <si>
    <t>Скорректированный бюджет на отчетный финансовый год</t>
  </si>
</sst>
</file>

<file path=xl/styles.xml><?xml version="1.0" encoding="utf-8"?>
<styleSheet xmlns="http://schemas.openxmlformats.org/spreadsheetml/2006/main">
  <numFmts count="1">
    <numFmt numFmtId="172" formatCode="#,##0.0"/>
  </numFmts>
  <fonts count="12"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8"/>
      <name val="Times New Roman"/>
      <family val="1"/>
      <charset val="204"/>
    </font>
    <font>
      <i/>
      <sz val="12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9" fontId="1" fillId="0" borderId="0" xfId="0" applyNumberFormat="1" applyFont="1" applyAlignment="1">
      <alignment horizontal="centerContinuous" wrapText="1"/>
    </xf>
    <xf numFmtId="49" fontId="2" fillId="0" borderId="0" xfId="0" applyNumberFormat="1" applyFont="1" applyAlignment="1">
      <alignment horizontal="centerContinuous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Continuous" wrapText="1"/>
    </xf>
    <xf numFmtId="0" fontId="1" fillId="0" borderId="0" xfId="0" applyFont="1" applyAlignment="1">
      <alignment horizontal="center"/>
    </xf>
    <xf numFmtId="49" fontId="5" fillId="0" borderId="0" xfId="0" applyNumberFormat="1" applyFont="1" applyAlignment="1"/>
    <xf numFmtId="0" fontId="6" fillId="0" borderId="0" xfId="0" applyFont="1" applyAlignment="1">
      <alignment horizontal="centerContinuous" wrapText="1"/>
    </xf>
    <xf numFmtId="0" fontId="2" fillId="0" borderId="0" xfId="0" applyFont="1" applyAlignment="1"/>
    <xf numFmtId="0" fontId="1" fillId="0" borderId="0" xfId="0" applyFont="1" applyAlignment="1"/>
    <xf numFmtId="49" fontId="7" fillId="0" borderId="0" xfId="0" applyNumberFormat="1" applyFont="1" applyAlignment="1">
      <alignment horizontal="centerContinuous" wrapText="1"/>
    </xf>
    <xf numFmtId="0" fontId="4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49" fontId="3" fillId="0" borderId="0" xfId="0" applyNumberFormat="1" applyFont="1"/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49" fontId="9" fillId="0" borderId="7" xfId="0" applyNumberFormat="1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72" fontId="10" fillId="0" borderId="0" xfId="0" applyNumberFormat="1" applyFont="1" applyAlignment="1">
      <alignment vertical="center"/>
    </xf>
    <xf numFmtId="172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 wrapText="1"/>
    </xf>
    <xf numFmtId="172" fontId="11" fillId="0" borderId="0" xfId="0" applyNumberFormat="1" applyFont="1" applyAlignment="1">
      <alignment vertical="center"/>
    </xf>
    <xf numFmtId="172" fontId="11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172" fontId="5" fillId="0" borderId="0" xfId="0" applyNumberFormat="1" applyFont="1" applyAlignment="1">
      <alignment vertical="center"/>
    </xf>
    <xf numFmtId="172" fontId="5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Continuous" vertical="center" wrapText="1"/>
    </xf>
    <xf numFmtId="49" fontId="3" fillId="0" borderId="0" xfId="0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49" fontId="3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N69"/>
  <sheetViews>
    <sheetView tabSelected="1" workbookViewId="0">
      <selection activeCell="F3" sqref="F3"/>
    </sheetView>
  </sheetViews>
  <sheetFormatPr defaultRowHeight="11.25"/>
  <cols>
    <col min="1" max="3" width="4" style="50" customWidth="1"/>
    <col min="4" max="4" width="52.140625" style="3" customWidth="1"/>
    <col min="5" max="8" width="13.85546875" style="3" customWidth="1"/>
    <col min="9" max="9" width="12.7109375" style="3" customWidth="1"/>
    <col min="10" max="10" width="12.85546875" style="3" customWidth="1"/>
    <col min="11" max="11" width="12" style="3" customWidth="1"/>
    <col min="12" max="12" width="13.85546875" style="3" customWidth="1"/>
    <col min="13" max="14" width="11.28515625" style="3" customWidth="1"/>
    <col min="15" max="16384" width="9.140625" style="3"/>
  </cols>
  <sheetData>
    <row r="1" spans="1:14" s="5" customFormat="1" ht="15.75">
      <c r="A1" s="1"/>
      <c r="B1" s="2"/>
      <c r="C1" s="2"/>
      <c r="D1" s="3"/>
      <c r="E1" s="4"/>
      <c r="F1" s="4"/>
      <c r="H1" s="6" t="s">
        <v>0</v>
      </c>
      <c r="I1" s="7"/>
      <c r="L1" s="8"/>
    </row>
    <row r="2" spans="1:14" s="5" customFormat="1" ht="15.75">
      <c r="A2" s="9"/>
      <c r="B2" s="2"/>
      <c r="C2" s="2"/>
      <c r="D2" s="6"/>
      <c r="E2" s="7"/>
      <c r="F2" s="6"/>
      <c r="G2" s="10"/>
      <c r="H2" s="6" t="s">
        <v>1</v>
      </c>
      <c r="I2" s="7"/>
      <c r="J2" s="11"/>
      <c r="K2" s="11"/>
      <c r="L2" s="12"/>
    </row>
    <row r="3" spans="1:14" s="5" customFormat="1" ht="15.75">
      <c r="A3" s="13"/>
      <c r="B3" s="2"/>
      <c r="C3" s="2"/>
      <c r="D3" s="7"/>
      <c r="E3" s="7"/>
      <c r="F3" s="14"/>
      <c r="G3" s="7"/>
      <c r="H3" s="7"/>
      <c r="I3" s="7"/>
      <c r="J3" s="7"/>
      <c r="K3" s="7"/>
      <c r="L3" s="15"/>
      <c r="M3" s="7"/>
      <c r="N3" s="7"/>
    </row>
    <row r="4" spans="1:14" s="5" customFormat="1" ht="15.75">
      <c r="A4" s="13" t="s">
        <v>2</v>
      </c>
      <c r="B4" s="2"/>
      <c r="C4" s="2"/>
      <c r="D4" s="7"/>
      <c r="E4" s="7"/>
      <c r="F4" s="14"/>
      <c r="G4" s="7"/>
      <c r="H4" s="7"/>
      <c r="I4" s="7"/>
      <c r="J4" s="7"/>
      <c r="K4" s="7"/>
      <c r="L4" s="15"/>
      <c r="M4" s="7"/>
      <c r="N4" s="7"/>
    </row>
    <row r="5" spans="1:14" s="18" customFormat="1">
      <c r="A5" s="16" t="s">
        <v>3</v>
      </c>
      <c r="B5" s="16"/>
      <c r="C5" s="16"/>
      <c r="D5" s="17" t="s">
        <v>4</v>
      </c>
      <c r="L5" s="19"/>
    </row>
    <row r="6" spans="1:14">
      <c r="A6" s="16" t="s">
        <v>5</v>
      </c>
      <c r="B6" s="16"/>
      <c r="C6" s="16"/>
      <c r="D6" s="17" t="s">
        <v>6</v>
      </c>
      <c r="E6" s="18"/>
      <c r="F6" s="18"/>
    </row>
    <row r="7" spans="1:14" s="26" customFormat="1" ht="42.75" customHeight="1">
      <c r="A7" s="20" t="s">
        <v>7</v>
      </c>
      <c r="B7" s="21"/>
      <c r="C7" s="21"/>
      <c r="D7" s="22" t="s">
        <v>8</v>
      </c>
      <c r="E7" s="22" t="s">
        <v>9</v>
      </c>
      <c r="F7" s="22" t="s">
        <v>10</v>
      </c>
      <c r="G7" s="22" t="s">
        <v>86</v>
      </c>
      <c r="H7" s="23" t="s">
        <v>11</v>
      </c>
      <c r="I7" s="24"/>
      <c r="J7" s="22" t="s">
        <v>12</v>
      </c>
      <c r="K7" s="22" t="s">
        <v>13</v>
      </c>
      <c r="L7" s="22" t="s">
        <v>14</v>
      </c>
      <c r="M7" s="22" t="s">
        <v>15</v>
      </c>
      <c r="N7" s="25" t="s">
        <v>16</v>
      </c>
    </row>
    <row r="8" spans="1:14" s="26" customFormat="1" ht="35.25" customHeight="1">
      <c r="A8" s="27"/>
      <c r="B8" s="28"/>
      <c r="C8" s="28"/>
      <c r="D8" s="29"/>
      <c r="E8" s="29"/>
      <c r="F8" s="29"/>
      <c r="G8" s="29"/>
      <c r="H8" s="30" t="s">
        <v>17</v>
      </c>
      <c r="I8" s="30" t="s">
        <v>18</v>
      </c>
      <c r="J8" s="29"/>
      <c r="K8" s="29"/>
      <c r="L8" s="29"/>
      <c r="M8" s="29"/>
      <c r="N8" s="25"/>
    </row>
    <row r="9" spans="1:14" ht="11.25" customHeight="1">
      <c r="A9" s="31" t="s">
        <v>19</v>
      </c>
      <c r="B9" s="32"/>
      <c r="C9" s="32"/>
      <c r="D9" s="33">
        <v>2</v>
      </c>
      <c r="E9" s="34">
        <v>3</v>
      </c>
      <c r="F9" s="34">
        <v>4</v>
      </c>
      <c r="G9" s="34">
        <v>5</v>
      </c>
      <c r="H9" s="34">
        <v>6</v>
      </c>
      <c r="I9" s="34">
        <v>7</v>
      </c>
      <c r="J9" s="34">
        <v>8</v>
      </c>
      <c r="K9" s="34">
        <v>9</v>
      </c>
      <c r="L9" s="34">
        <v>10</v>
      </c>
      <c r="M9" s="34">
        <v>11</v>
      </c>
      <c r="N9" s="34">
        <v>12</v>
      </c>
    </row>
    <row r="10" spans="1:14" ht="12">
      <c r="A10" s="35"/>
      <c r="B10" s="35"/>
      <c r="C10" s="35"/>
      <c r="D10" s="36" t="s">
        <v>20</v>
      </c>
      <c r="E10" s="37">
        <v>8075013965</v>
      </c>
      <c r="F10" s="37">
        <v>7246708841.1000004</v>
      </c>
      <c r="G10" s="37">
        <v>7245764275.1000004</v>
      </c>
      <c r="H10" s="37">
        <v>7245764275.1000004</v>
      </c>
      <c r="I10" s="37"/>
      <c r="J10" s="37"/>
      <c r="K10" s="37"/>
      <c r="L10" s="37">
        <v>7634804909.6352997</v>
      </c>
      <c r="M10" s="38">
        <f>IF(H10=0,0,L10/H10*100)</f>
        <v>105.36921461649303</v>
      </c>
      <c r="N10" s="38">
        <f>IF(G10=0,0,L10/G10*100)</f>
        <v>105.36921461649303</v>
      </c>
    </row>
    <row r="11" spans="1:14">
      <c r="A11" s="39"/>
      <c r="B11" s="39"/>
      <c r="C11" s="39"/>
      <c r="D11" s="40" t="s">
        <v>21</v>
      </c>
      <c r="E11" s="41">
        <v>5460230655</v>
      </c>
      <c r="F11" s="41">
        <v>4516645362.6999998</v>
      </c>
      <c r="G11" s="41">
        <v>4516535790.6999998</v>
      </c>
      <c r="H11" s="41">
        <v>4516535790.6999998</v>
      </c>
      <c r="I11" s="41"/>
      <c r="J11" s="41"/>
      <c r="K11" s="41"/>
      <c r="L11" s="41">
        <v>4883912843.5431004</v>
      </c>
      <c r="M11" s="42">
        <f>IF(H11=0,0,L11/H11*100)</f>
        <v>108.13404498198744</v>
      </c>
      <c r="N11" s="42">
        <f>IF(G11=0,0,L11/G11*100)</f>
        <v>108.13404498198744</v>
      </c>
    </row>
    <row r="12" spans="1:14">
      <c r="A12" s="43" t="s">
        <v>22</v>
      </c>
      <c r="B12" s="43"/>
      <c r="C12" s="43"/>
      <c r="D12" s="44" t="s">
        <v>23</v>
      </c>
      <c r="E12" s="45">
        <v>5460230655</v>
      </c>
      <c r="F12" s="45">
        <v>4516645362.6999998</v>
      </c>
      <c r="G12" s="45">
        <v>4516535790.6999998</v>
      </c>
      <c r="H12" s="45">
        <v>4516535790.6999998</v>
      </c>
      <c r="I12" s="45"/>
      <c r="J12" s="45"/>
      <c r="K12" s="45"/>
      <c r="L12" s="45">
        <v>4883912843.5431004</v>
      </c>
      <c r="M12" s="46">
        <f>IF(H12=0,0,L12/H12*100)</f>
        <v>108.13404498198744</v>
      </c>
      <c r="N12" s="46">
        <f>IF(G12=0,0,L12/G12*100)</f>
        <v>108.13404498198744</v>
      </c>
    </row>
    <row r="13" spans="1:14">
      <c r="A13" s="39"/>
      <c r="B13" s="39"/>
      <c r="C13" s="39"/>
      <c r="D13" s="40" t="s">
        <v>24</v>
      </c>
      <c r="E13" s="41">
        <v>148194057</v>
      </c>
      <c r="F13" s="41">
        <v>203944801.59999999</v>
      </c>
      <c r="G13" s="41">
        <v>203245431.59999999</v>
      </c>
      <c r="H13" s="41">
        <v>203245431.59999999</v>
      </c>
      <c r="I13" s="41"/>
      <c r="J13" s="41"/>
      <c r="K13" s="41"/>
      <c r="L13" s="41">
        <v>224766546.03349999</v>
      </c>
      <c r="M13" s="42">
        <f>IF(H13=0,0,L13/H13*100)</f>
        <v>110.58873218653933</v>
      </c>
      <c r="N13" s="42">
        <f>IF(G13=0,0,L13/G13*100)</f>
        <v>110.58873218653933</v>
      </c>
    </row>
    <row r="14" spans="1:14">
      <c r="A14" s="43" t="s">
        <v>25</v>
      </c>
      <c r="B14" s="43"/>
      <c r="C14" s="43"/>
      <c r="D14" s="44" t="s">
        <v>26</v>
      </c>
      <c r="E14" s="45">
        <v>148194057</v>
      </c>
      <c r="F14" s="45">
        <v>203944801.59999999</v>
      </c>
      <c r="G14" s="45">
        <v>203245431.59999999</v>
      </c>
      <c r="H14" s="45">
        <v>203245431.59999999</v>
      </c>
      <c r="I14" s="45"/>
      <c r="J14" s="45"/>
      <c r="K14" s="45"/>
      <c r="L14" s="45">
        <v>224766546.0334</v>
      </c>
      <c r="M14" s="46">
        <f>IF(H14=0,0,L14/H14*100)</f>
        <v>110.58873218649015</v>
      </c>
      <c r="N14" s="46">
        <f>IF(G14=0,0,L14/G14*100)</f>
        <v>110.58873218649015</v>
      </c>
    </row>
    <row r="15" spans="1:14">
      <c r="A15" s="39"/>
      <c r="B15" s="39"/>
      <c r="C15" s="39"/>
      <c r="D15" s="40" t="s">
        <v>27</v>
      </c>
      <c r="E15" s="41">
        <v>57089254</v>
      </c>
      <c r="F15" s="41">
        <v>68832013.799999997</v>
      </c>
      <c r="G15" s="41">
        <v>68696389.799999997</v>
      </c>
      <c r="H15" s="41">
        <v>68696389.799999997</v>
      </c>
      <c r="I15" s="41"/>
      <c r="J15" s="41"/>
      <c r="K15" s="41"/>
      <c r="L15" s="41">
        <v>69708557.058699995</v>
      </c>
      <c r="M15" s="42">
        <f>IF(H15=0,0,L15/H15*100)</f>
        <v>101.47339221412767</v>
      </c>
      <c r="N15" s="42">
        <f>IF(G15=0,0,L15/G15*100)</f>
        <v>101.47339221412767</v>
      </c>
    </row>
    <row r="16" spans="1:14">
      <c r="A16" s="43" t="s">
        <v>28</v>
      </c>
      <c r="B16" s="43"/>
      <c r="C16" s="43"/>
      <c r="D16" s="44" t="s">
        <v>29</v>
      </c>
      <c r="E16" s="45">
        <v>57089254</v>
      </c>
      <c r="F16" s="45">
        <v>68832013.799999997</v>
      </c>
      <c r="G16" s="45">
        <v>68696389.799999997</v>
      </c>
      <c r="H16" s="45">
        <v>68696389.799999997</v>
      </c>
      <c r="I16" s="45"/>
      <c r="J16" s="45"/>
      <c r="K16" s="45"/>
      <c r="L16" s="45">
        <v>69708557.058699995</v>
      </c>
      <c r="M16" s="46">
        <f>IF(H16=0,0,L16/H16*100)</f>
        <v>101.47339221412767</v>
      </c>
      <c r="N16" s="46">
        <f>IF(G16=0,0,L16/G16*100)</f>
        <v>101.47339221412767</v>
      </c>
    </row>
    <row r="17" spans="1:14">
      <c r="A17" s="39"/>
      <c r="B17" s="39"/>
      <c r="C17" s="39"/>
      <c r="D17" s="40" t="s">
        <v>30</v>
      </c>
      <c r="E17" s="41">
        <v>2409499999</v>
      </c>
      <c r="F17" s="41">
        <v>2457286663</v>
      </c>
      <c r="G17" s="41">
        <v>2457286663</v>
      </c>
      <c r="H17" s="41">
        <v>2457286663</v>
      </c>
      <c r="I17" s="41"/>
      <c r="J17" s="41"/>
      <c r="K17" s="41"/>
      <c r="L17" s="41">
        <v>2456416963</v>
      </c>
      <c r="M17" s="42">
        <f>IF(H17=0,0,L17/H17*100)</f>
        <v>99.964607303938308</v>
      </c>
      <c r="N17" s="42">
        <f>IF(G17=0,0,L17/G17*100)</f>
        <v>99.964607303938308</v>
      </c>
    </row>
    <row r="18" spans="1:14">
      <c r="A18" s="43" t="s">
        <v>31</v>
      </c>
      <c r="B18" s="43"/>
      <c r="C18" s="43"/>
      <c r="D18" s="44" t="s">
        <v>32</v>
      </c>
      <c r="E18" s="45">
        <v>2409499999</v>
      </c>
      <c r="F18" s="45">
        <v>2457286663</v>
      </c>
      <c r="G18" s="45">
        <v>2457286663</v>
      </c>
      <c r="H18" s="45">
        <v>2457286663</v>
      </c>
      <c r="I18" s="45"/>
      <c r="J18" s="45"/>
      <c r="K18" s="45"/>
      <c r="L18" s="45">
        <v>2456416963</v>
      </c>
      <c r="M18" s="46">
        <f>IF(H18=0,0,L18/H18*100)</f>
        <v>99.964607303938308</v>
      </c>
      <c r="N18" s="46">
        <f>IF(G18=0,0,L18/G18*100)</f>
        <v>99.964607303938308</v>
      </c>
    </row>
    <row r="19" spans="1:14" ht="12">
      <c r="A19" s="35"/>
      <c r="B19" s="35"/>
      <c r="C19" s="35"/>
      <c r="D19" s="36" t="s">
        <v>33</v>
      </c>
      <c r="E19" s="37">
        <v>8206785985</v>
      </c>
      <c r="F19" s="37">
        <v>8275998091.5979996</v>
      </c>
      <c r="G19" s="37">
        <v>8269560033.8999996</v>
      </c>
      <c r="H19" s="37">
        <v>8269560033.8999996</v>
      </c>
      <c r="I19" s="37">
        <v>8269560033.8999996</v>
      </c>
      <c r="J19" s="37">
        <v>8242944126.7904997</v>
      </c>
      <c r="K19" s="37">
        <f>J19-L19</f>
        <v>15846953.19810009</v>
      </c>
      <c r="L19" s="37">
        <v>8227097173.5923996</v>
      </c>
      <c r="M19" s="38">
        <f>IF(H19=0,0,L19/H19*100)</f>
        <v>99.486516088721416</v>
      </c>
      <c r="N19" s="38">
        <f>IF(G19=0,0,L19/G19*100)</f>
        <v>99.486516088721416</v>
      </c>
    </row>
    <row r="20" spans="1:14">
      <c r="A20" s="43" t="s">
        <v>34</v>
      </c>
      <c r="B20" s="43"/>
      <c r="C20" s="43"/>
      <c r="D20" s="44" t="s">
        <v>35</v>
      </c>
      <c r="E20" s="45">
        <v>534639411</v>
      </c>
      <c r="F20" s="45">
        <v>473570899.30000001</v>
      </c>
      <c r="G20" s="45">
        <v>699711399.20000005</v>
      </c>
      <c r="H20" s="45">
        <v>699711399.20000005</v>
      </c>
      <c r="I20" s="45">
        <v>699711399.20000005</v>
      </c>
      <c r="J20" s="45">
        <v>698534346.06089997</v>
      </c>
      <c r="K20" s="45">
        <f>J20-L20</f>
        <v>1232613.0034999847</v>
      </c>
      <c r="L20" s="45">
        <v>697301733.05739999</v>
      </c>
      <c r="M20" s="46">
        <f>IF(H20=0,0,L20/H20*100)</f>
        <v>99.655619996279171</v>
      </c>
      <c r="N20" s="46">
        <f>IF(G20=0,0,L20/G20*100)</f>
        <v>99.655619996279171</v>
      </c>
    </row>
    <row r="21" spans="1:14">
      <c r="A21" s="43" t="s">
        <v>36</v>
      </c>
      <c r="B21" s="43"/>
      <c r="C21" s="43"/>
      <c r="D21" s="44" t="s">
        <v>37</v>
      </c>
      <c r="E21" s="45">
        <v>459345346</v>
      </c>
      <c r="F21" s="45">
        <v>435115945.89999998</v>
      </c>
      <c r="G21" s="45">
        <v>454120703.69999999</v>
      </c>
      <c r="H21" s="45">
        <v>454120703.69999999</v>
      </c>
      <c r="I21" s="45">
        <v>454120703.69999999</v>
      </c>
      <c r="J21" s="45">
        <v>454060362.75779998</v>
      </c>
      <c r="K21" s="45">
        <f>J21-L21</f>
        <v>378392.55769997835</v>
      </c>
      <c r="L21" s="45">
        <v>453681970.2001</v>
      </c>
      <c r="M21" s="46">
        <f>IF(H21=0,0,L21/H21*100)</f>
        <v>99.903388351086974</v>
      </c>
      <c r="N21" s="46">
        <f>IF(G21=0,0,L21/G21*100)</f>
        <v>99.903388351086974</v>
      </c>
    </row>
    <row r="22" spans="1:14" ht="22.5">
      <c r="A22" s="43" t="s">
        <v>38</v>
      </c>
      <c r="B22" s="43"/>
      <c r="C22" s="43"/>
      <c r="D22" s="44" t="s">
        <v>39</v>
      </c>
      <c r="E22" s="45">
        <v>610056728</v>
      </c>
      <c r="F22" s="45">
        <v>560532651</v>
      </c>
      <c r="G22" s="45">
        <v>561248890.60000002</v>
      </c>
      <c r="H22" s="45">
        <v>561248890.60000002</v>
      </c>
      <c r="I22" s="45">
        <v>561248890.60000002</v>
      </c>
      <c r="J22" s="45">
        <v>561134956.51629996</v>
      </c>
      <c r="K22" s="45">
        <f>J22-L22</f>
        <v>3696221.9994000196</v>
      </c>
      <c r="L22" s="45">
        <v>557438734.51689994</v>
      </c>
      <c r="M22" s="46">
        <f>IF(H22=0,0,L22/H22*100)</f>
        <v>99.321128977372794</v>
      </c>
      <c r="N22" s="46">
        <f>IF(G22=0,0,L22/G22*100)</f>
        <v>99.321128977372794</v>
      </c>
    </row>
    <row r="23" spans="1:14">
      <c r="A23" s="43" t="s">
        <v>40</v>
      </c>
      <c r="B23" s="43"/>
      <c r="C23" s="43"/>
      <c r="D23" s="44" t="s">
        <v>41</v>
      </c>
      <c r="E23" s="45">
        <v>1401044458</v>
      </c>
      <c r="F23" s="45">
        <v>1365868016.2980001</v>
      </c>
      <c r="G23" s="45">
        <v>1367799713.7</v>
      </c>
      <c r="H23" s="45">
        <v>1367799713.7</v>
      </c>
      <c r="I23" s="45">
        <v>1367799713.7</v>
      </c>
      <c r="J23" s="45">
        <v>1365473570.1858001</v>
      </c>
      <c r="K23" s="45">
        <f>J23-L23</f>
        <v>736942.15140008926</v>
      </c>
      <c r="L23" s="45">
        <v>1364736628.0344</v>
      </c>
      <c r="M23" s="46">
        <f>IF(H23=0,0,L23/H23*100)</f>
        <v>99.776057442115246</v>
      </c>
      <c r="N23" s="46">
        <f>IF(G23=0,0,L23/G23*100)</f>
        <v>99.776057442115246</v>
      </c>
    </row>
    <row r="24" spans="1:14">
      <c r="A24" s="43" t="s">
        <v>42</v>
      </c>
      <c r="B24" s="43"/>
      <c r="C24" s="43"/>
      <c r="D24" s="44" t="s">
        <v>43</v>
      </c>
      <c r="E24" s="45">
        <v>839562811</v>
      </c>
      <c r="F24" s="45">
        <v>867088438.60000002</v>
      </c>
      <c r="G24" s="45">
        <v>867889561.10000002</v>
      </c>
      <c r="H24" s="45">
        <v>867889561.10000002</v>
      </c>
      <c r="I24" s="45">
        <v>867889561.10000002</v>
      </c>
      <c r="J24" s="45">
        <v>865230579.85860002</v>
      </c>
      <c r="K24" s="45">
        <f>J24-L24</f>
        <v>1331468.6497000456</v>
      </c>
      <c r="L24" s="45">
        <v>863899111.20889997</v>
      </c>
      <c r="M24" s="46">
        <f>IF(H24=0,0,L24/H24*100)</f>
        <v>99.540212249350901</v>
      </c>
      <c r="N24" s="46">
        <f>IF(G24=0,0,L24/G24*100)</f>
        <v>99.540212249350901</v>
      </c>
    </row>
    <row r="25" spans="1:14">
      <c r="A25" s="43" t="s">
        <v>44</v>
      </c>
      <c r="B25" s="43"/>
      <c r="C25" s="43"/>
      <c r="D25" s="44" t="s">
        <v>45</v>
      </c>
      <c r="E25" s="45">
        <v>1795677021</v>
      </c>
      <c r="F25" s="45">
        <v>1733165895.8</v>
      </c>
      <c r="G25" s="45">
        <v>1713941158</v>
      </c>
      <c r="H25" s="45">
        <v>1713941158</v>
      </c>
      <c r="I25" s="45">
        <v>1713941158</v>
      </c>
      <c r="J25" s="45">
        <v>1713559227.372</v>
      </c>
      <c r="K25" s="45">
        <f>J25-L25</f>
        <v>108064.71020007133</v>
      </c>
      <c r="L25" s="45">
        <v>1713451162.6617999</v>
      </c>
      <c r="M25" s="46">
        <f>IF(H25=0,0,L25/H25*100)</f>
        <v>99.971411192507219</v>
      </c>
      <c r="N25" s="46">
        <f>IF(G25=0,0,L25/G25*100)</f>
        <v>99.971411192507219</v>
      </c>
    </row>
    <row r="26" spans="1:14">
      <c r="A26" s="43" t="s">
        <v>46</v>
      </c>
      <c r="B26" s="43"/>
      <c r="C26" s="43"/>
      <c r="D26" s="44" t="s">
        <v>47</v>
      </c>
      <c r="E26" s="45">
        <v>410171212</v>
      </c>
      <c r="F26" s="45">
        <v>429023589.30000001</v>
      </c>
      <c r="G26" s="45">
        <v>449113241.39999998</v>
      </c>
      <c r="H26" s="45">
        <v>449113241.39999998</v>
      </c>
      <c r="I26" s="45">
        <v>449113241.39999998</v>
      </c>
      <c r="J26" s="45">
        <v>446738608.86309999</v>
      </c>
      <c r="K26" s="45">
        <f>J26-L26</f>
        <v>3716981.992200017</v>
      </c>
      <c r="L26" s="45">
        <v>443021626.87089998</v>
      </c>
      <c r="M26" s="46">
        <f>IF(H26=0,0,L26/H26*100)</f>
        <v>98.643635064040666</v>
      </c>
      <c r="N26" s="46">
        <f>IF(G26=0,0,L26/G26*100)</f>
        <v>98.643635064040666</v>
      </c>
    </row>
    <row r="27" spans="1:14">
      <c r="A27" s="43" t="s">
        <v>48</v>
      </c>
      <c r="B27" s="43"/>
      <c r="C27" s="43"/>
      <c r="D27" s="44" t="s">
        <v>49</v>
      </c>
      <c r="E27" s="45">
        <v>296963916</v>
      </c>
      <c r="F27" s="45">
        <v>294880329.5</v>
      </c>
      <c r="G27" s="45">
        <v>295377312.5</v>
      </c>
      <c r="H27" s="45">
        <v>295377312.5</v>
      </c>
      <c r="I27" s="45">
        <v>295377312.5</v>
      </c>
      <c r="J27" s="45">
        <v>294957408.58069998</v>
      </c>
      <c r="K27" s="45">
        <f>J27-L27</f>
        <v>1182868.0449999571</v>
      </c>
      <c r="L27" s="45">
        <v>293774540.53570002</v>
      </c>
      <c r="M27" s="46">
        <f>IF(H27=0,0,L27/H27*100)</f>
        <v>99.457381492595175</v>
      </c>
      <c r="N27" s="46">
        <f>IF(G27=0,0,L27/G27*100)</f>
        <v>99.457381492595175</v>
      </c>
    </row>
    <row r="28" spans="1:14">
      <c r="A28" s="43" t="s">
        <v>50</v>
      </c>
      <c r="B28" s="43"/>
      <c r="C28" s="43"/>
      <c r="D28" s="44" t="s">
        <v>51</v>
      </c>
      <c r="E28" s="45">
        <v>93735771</v>
      </c>
      <c r="F28" s="45">
        <v>111955344.09999999</v>
      </c>
      <c r="G28" s="45">
        <v>112125801.3</v>
      </c>
      <c r="H28" s="45">
        <v>112125801.3</v>
      </c>
      <c r="I28" s="45">
        <v>112125801.3</v>
      </c>
      <c r="J28" s="45">
        <v>112005261.08849999</v>
      </c>
      <c r="K28" s="45">
        <f>J28-L28</f>
        <v>472371.88829998672</v>
      </c>
      <c r="L28" s="45">
        <v>111532889.20020001</v>
      </c>
      <c r="M28" s="46">
        <f>IF(H28=0,0,L28/H28*100)</f>
        <v>99.471208149305781</v>
      </c>
      <c r="N28" s="46">
        <f>IF(G28=0,0,L28/G28*100)</f>
        <v>99.471208149305781</v>
      </c>
    </row>
    <row r="29" spans="1:14" ht="33.75">
      <c r="A29" s="43" t="s">
        <v>52</v>
      </c>
      <c r="B29" s="43"/>
      <c r="C29" s="43"/>
      <c r="D29" s="44" t="s">
        <v>53</v>
      </c>
      <c r="E29" s="45">
        <v>346384015</v>
      </c>
      <c r="F29" s="45">
        <v>369410511.19999999</v>
      </c>
      <c r="G29" s="45">
        <v>379241783.19999999</v>
      </c>
      <c r="H29" s="45">
        <v>379241783.19999999</v>
      </c>
      <c r="I29" s="45">
        <v>379241783.19999999</v>
      </c>
      <c r="J29" s="45">
        <v>376447416.67970002</v>
      </c>
      <c r="K29" s="45">
        <f>J29-L29</f>
        <v>409396.85290002823</v>
      </c>
      <c r="L29" s="45">
        <v>376038019.82679999</v>
      </c>
      <c r="M29" s="46">
        <f>IF(H29=0,0,L29/H29*100)</f>
        <v>99.15521877727528</v>
      </c>
      <c r="N29" s="46">
        <f>IF(G29=0,0,L29/G29*100)</f>
        <v>99.15521877727528</v>
      </c>
    </row>
    <row r="30" spans="1:14" ht="22.5">
      <c r="A30" s="43" t="s">
        <v>54</v>
      </c>
      <c r="B30" s="43"/>
      <c r="C30" s="43"/>
      <c r="D30" s="44" t="s">
        <v>55</v>
      </c>
      <c r="E30" s="45">
        <v>29679499</v>
      </c>
      <c r="F30" s="45">
        <v>28159382.300000001</v>
      </c>
      <c r="G30" s="45">
        <v>62132833.700000003</v>
      </c>
      <c r="H30" s="45">
        <v>62132833.700000003</v>
      </c>
      <c r="I30" s="45">
        <v>62132833.700000003</v>
      </c>
      <c r="J30" s="45">
        <v>61993705.560999997</v>
      </c>
      <c r="K30" s="45">
        <f>J30-L30</f>
        <v>218781.27669999748</v>
      </c>
      <c r="L30" s="45">
        <v>61774924.284299999</v>
      </c>
      <c r="M30" s="46">
        <f>IF(H30=0,0,L30/H30*100)</f>
        <v>99.423960900563273</v>
      </c>
      <c r="N30" s="46">
        <f>IF(G30=0,0,L30/G30*100)</f>
        <v>99.423960900563273</v>
      </c>
    </row>
    <row r="31" spans="1:14">
      <c r="A31" s="43" t="s">
        <v>56</v>
      </c>
      <c r="B31" s="43"/>
      <c r="C31" s="43"/>
      <c r="D31" s="44" t="s">
        <v>57</v>
      </c>
      <c r="E31" s="45">
        <v>675515140</v>
      </c>
      <c r="F31" s="45">
        <v>661287167.5</v>
      </c>
      <c r="G31" s="45">
        <v>685591492</v>
      </c>
      <c r="H31" s="45">
        <v>685591492</v>
      </c>
      <c r="I31" s="45">
        <v>685591492</v>
      </c>
      <c r="J31" s="45">
        <v>682203340.48339999</v>
      </c>
      <c r="K31" s="45">
        <f>J31-L31</f>
        <v>506273.47909998894</v>
      </c>
      <c r="L31" s="45">
        <v>681697067.0043</v>
      </c>
      <c r="M31" s="46">
        <f>IF(H31=0,0,L31/H31*100)</f>
        <v>99.431961300403643</v>
      </c>
      <c r="N31" s="46">
        <f>IF(G31=0,0,L31/G31*100)</f>
        <v>99.431961300403643</v>
      </c>
    </row>
    <row r="32" spans="1:14">
      <c r="A32" s="43" t="s">
        <v>58</v>
      </c>
      <c r="B32" s="43"/>
      <c r="C32" s="43"/>
      <c r="D32" s="44" t="s">
        <v>59</v>
      </c>
      <c r="E32" s="45">
        <v>411264989</v>
      </c>
      <c r="F32" s="45">
        <v>647155849.20000005</v>
      </c>
      <c r="G32" s="45">
        <v>322482071.89999998</v>
      </c>
      <c r="H32" s="45">
        <v>322482071.89999998</v>
      </c>
      <c r="I32" s="45">
        <v>322482071.89999998</v>
      </c>
      <c r="J32" s="45">
        <v>311871203.23180002</v>
      </c>
      <c r="K32" s="45">
        <f>J32-L32</f>
        <v>1856576.5936999917</v>
      </c>
      <c r="L32" s="45">
        <v>310014626.63810003</v>
      </c>
      <c r="M32" s="46">
        <f>IF(H32=0,0,L32/H32*100)</f>
        <v>96.133910580379165</v>
      </c>
      <c r="N32" s="46">
        <f>IF(G32=0,0,L32/G32*100)</f>
        <v>96.133910580379165</v>
      </c>
    </row>
    <row r="33" spans="1:14">
      <c r="A33" s="43" t="s">
        <v>60</v>
      </c>
      <c r="B33" s="43"/>
      <c r="C33" s="43"/>
      <c r="D33" s="44" t="s">
        <v>61</v>
      </c>
      <c r="E33" s="45">
        <v>302745668</v>
      </c>
      <c r="F33" s="45">
        <v>297351668</v>
      </c>
      <c r="G33" s="45">
        <v>297351668</v>
      </c>
      <c r="H33" s="45">
        <v>297351668</v>
      </c>
      <c r="I33" s="45">
        <v>297351668</v>
      </c>
      <c r="J33" s="45">
        <v>297327444.13620001</v>
      </c>
      <c r="K33" s="45">
        <f>J33-L33</f>
        <v>4.0000677108764648E-4</v>
      </c>
      <c r="L33" s="45">
        <v>297327444.1358</v>
      </c>
      <c r="M33" s="46">
        <f>IF(H33=0,0,L33/H33*100)</f>
        <v>99.991853462816294</v>
      </c>
      <c r="N33" s="46">
        <f>IF(G33=0,0,L33/G33*100)</f>
        <v>99.991853462816294</v>
      </c>
    </row>
    <row r="34" spans="1:14">
      <c r="A34" s="43" t="s">
        <v>62</v>
      </c>
      <c r="B34" s="43"/>
      <c r="C34" s="43"/>
      <c r="D34" s="44" t="s">
        <v>63</v>
      </c>
      <c r="E34" s="45">
        <v>0</v>
      </c>
      <c r="F34" s="45">
        <v>1432403.6</v>
      </c>
      <c r="G34" s="45">
        <v>1432403.6</v>
      </c>
      <c r="H34" s="45">
        <v>1432403.6</v>
      </c>
      <c r="I34" s="45">
        <v>1432403.6</v>
      </c>
      <c r="J34" s="45">
        <v>1406695.4180999999</v>
      </c>
      <c r="K34" s="45">
        <f>J34-L34</f>
        <v>0</v>
      </c>
      <c r="L34" s="45">
        <v>1406695.4180999999</v>
      </c>
      <c r="M34" s="46">
        <f>IF(H34=0,0,L34/H34*100)</f>
        <v>98.20524174192245</v>
      </c>
      <c r="N34" s="46">
        <f>IF(G34=0,0,L34/G34*100)</f>
        <v>98.20524174192245</v>
      </c>
    </row>
    <row r="35" spans="1:14" ht="12">
      <c r="A35" s="35"/>
      <c r="B35" s="35"/>
      <c r="C35" s="35"/>
      <c r="D35" s="36" t="s">
        <v>64</v>
      </c>
      <c r="E35" s="37">
        <v>94645016</v>
      </c>
      <c r="F35" s="37">
        <v>146370549.40000001</v>
      </c>
      <c r="G35" s="37">
        <v>85088767.400000006</v>
      </c>
      <c r="H35" s="37">
        <v>85088767.400000006</v>
      </c>
      <c r="I35" s="37"/>
      <c r="J35" s="37"/>
      <c r="K35" s="37"/>
      <c r="L35" s="37">
        <v>84702119.767000005</v>
      </c>
      <c r="M35" s="38"/>
      <c r="N35" s="38"/>
    </row>
    <row r="36" spans="1:14">
      <c r="A36" s="39"/>
      <c r="B36" s="39"/>
      <c r="C36" s="39"/>
      <c r="D36" s="40" t="s">
        <v>65</v>
      </c>
      <c r="E36" s="41">
        <v>161869663</v>
      </c>
      <c r="F36" s="41">
        <v>214402069</v>
      </c>
      <c r="G36" s="41">
        <v>153120287</v>
      </c>
      <c r="H36" s="41">
        <v>153120287</v>
      </c>
      <c r="I36" s="41">
        <v>153120287</v>
      </c>
      <c r="J36" s="41">
        <v>152896890.81580001</v>
      </c>
      <c r="K36" s="41">
        <f>J36-L36</f>
        <v>0</v>
      </c>
      <c r="L36" s="41">
        <v>152896890.81580001</v>
      </c>
      <c r="M36" s="42">
        <f>IF(H36=0,0,L36/H36*100)</f>
        <v>99.854104123903582</v>
      </c>
      <c r="N36" s="42">
        <f>IF(G36=0,0,L36/G36*100)</f>
        <v>99.854104123903582</v>
      </c>
    </row>
    <row r="37" spans="1:14">
      <c r="A37" s="43" t="s">
        <v>44</v>
      </c>
      <c r="B37" s="43"/>
      <c r="C37" s="43"/>
      <c r="D37" s="44" t="s">
        <v>45</v>
      </c>
      <c r="E37" s="45">
        <v>20400069</v>
      </c>
      <c r="F37" s="45">
        <v>10046043</v>
      </c>
      <c r="G37" s="45">
        <v>10346043</v>
      </c>
      <c r="H37" s="45">
        <v>10346043</v>
      </c>
      <c r="I37" s="45">
        <v>10346043</v>
      </c>
      <c r="J37" s="45">
        <v>10346043</v>
      </c>
      <c r="K37" s="45">
        <f>J37-L37</f>
        <v>0</v>
      </c>
      <c r="L37" s="45">
        <v>10346043</v>
      </c>
      <c r="M37" s="46">
        <f>IF(H37=0,0,L37/H37*100)</f>
        <v>100</v>
      </c>
      <c r="N37" s="46">
        <f>IF(G37=0,0,L37/G37*100)</f>
        <v>100</v>
      </c>
    </row>
    <row r="38" spans="1:14">
      <c r="A38" s="43" t="s">
        <v>46</v>
      </c>
      <c r="B38" s="43"/>
      <c r="C38" s="43"/>
      <c r="D38" s="44" t="s">
        <v>47</v>
      </c>
      <c r="E38" s="45">
        <v>60000000</v>
      </c>
      <c r="F38" s="45">
        <v>121714705</v>
      </c>
      <c r="G38" s="45">
        <v>60132923</v>
      </c>
      <c r="H38" s="45">
        <v>60132923</v>
      </c>
      <c r="I38" s="45">
        <v>60132923</v>
      </c>
      <c r="J38" s="45">
        <v>59923559.193800002</v>
      </c>
      <c r="K38" s="45">
        <f>J38-L38</f>
        <v>0</v>
      </c>
      <c r="L38" s="45">
        <v>59923559.193800002</v>
      </c>
      <c r="M38" s="46">
        <f>IF(H38=0,0,L38/H38*100)</f>
        <v>99.651831649361199</v>
      </c>
      <c r="N38" s="46">
        <f>IF(G38=0,0,L38/G38*100)</f>
        <v>99.651831649361199</v>
      </c>
    </row>
    <row r="39" spans="1:14" ht="33.75">
      <c r="A39" s="43" t="s">
        <v>52</v>
      </c>
      <c r="B39" s="43"/>
      <c r="C39" s="43"/>
      <c r="D39" s="44" t="s">
        <v>53</v>
      </c>
      <c r="E39" s="45">
        <v>66629605</v>
      </c>
      <c r="F39" s="45">
        <v>68725701</v>
      </c>
      <c r="G39" s="45">
        <v>68725701</v>
      </c>
      <c r="H39" s="45">
        <v>68725701</v>
      </c>
      <c r="I39" s="45">
        <v>68725701</v>
      </c>
      <c r="J39" s="45">
        <v>68711668.621999994</v>
      </c>
      <c r="K39" s="45">
        <f>J39-L39</f>
        <v>0</v>
      </c>
      <c r="L39" s="45">
        <v>68711668.621999994</v>
      </c>
      <c r="M39" s="46">
        <f>IF(H39=0,0,L39/H39*100)</f>
        <v>99.979582051844034</v>
      </c>
      <c r="N39" s="46">
        <f>IF(G39=0,0,L39/G39*100)</f>
        <v>99.979582051844034</v>
      </c>
    </row>
    <row r="40" spans="1:14">
      <c r="A40" s="43" t="s">
        <v>58</v>
      </c>
      <c r="B40" s="43"/>
      <c r="C40" s="43"/>
      <c r="D40" s="44" t="s">
        <v>59</v>
      </c>
      <c r="E40" s="45">
        <v>14839989</v>
      </c>
      <c r="F40" s="45">
        <v>13915620</v>
      </c>
      <c r="G40" s="45">
        <v>13915620</v>
      </c>
      <c r="H40" s="45">
        <v>13915620</v>
      </c>
      <c r="I40" s="45">
        <v>13915620</v>
      </c>
      <c r="J40" s="45">
        <v>13915620</v>
      </c>
      <c r="K40" s="45">
        <f>J40-L40</f>
        <v>0</v>
      </c>
      <c r="L40" s="45">
        <v>13915620</v>
      </c>
      <c r="M40" s="46">
        <f>IF(H40=0,0,L40/H40*100)</f>
        <v>100</v>
      </c>
      <c r="N40" s="46">
        <f>IF(G40=0,0,L40/G40*100)</f>
        <v>100</v>
      </c>
    </row>
    <row r="41" spans="1:14">
      <c r="A41" s="39"/>
      <c r="B41" s="39"/>
      <c r="C41" s="39"/>
      <c r="D41" s="40" t="s">
        <v>66</v>
      </c>
      <c r="E41" s="41">
        <v>67224647</v>
      </c>
      <c r="F41" s="41">
        <v>68031519.599999994</v>
      </c>
      <c r="G41" s="41">
        <v>68031519.599999994</v>
      </c>
      <c r="H41" s="41">
        <v>68031519.599999994</v>
      </c>
      <c r="I41" s="41"/>
      <c r="J41" s="41"/>
      <c r="K41" s="41"/>
      <c r="L41" s="41">
        <v>68194771.048700005</v>
      </c>
      <c r="M41" s="42">
        <f>IF(H41=0,0,L41/H41*100)</f>
        <v>100.23996443069312</v>
      </c>
      <c r="N41" s="42">
        <f>IF(G41=0,0,L41/G41*100)</f>
        <v>100.23996443069312</v>
      </c>
    </row>
    <row r="42" spans="1:14">
      <c r="A42" s="43" t="s">
        <v>67</v>
      </c>
      <c r="B42" s="43"/>
      <c r="C42" s="43"/>
      <c r="D42" s="44" t="s">
        <v>68</v>
      </c>
      <c r="E42" s="45">
        <v>67224647</v>
      </c>
      <c r="F42" s="45">
        <v>68031519.599999994</v>
      </c>
      <c r="G42" s="45">
        <v>68031519.599999994</v>
      </c>
      <c r="H42" s="45">
        <v>68031519.599999994</v>
      </c>
      <c r="I42" s="45"/>
      <c r="J42" s="45"/>
      <c r="K42" s="45"/>
      <c r="L42" s="45">
        <v>68194771.048800007</v>
      </c>
      <c r="M42" s="46">
        <f>IF(H42=0,0,L42/H42*100)</f>
        <v>100.23996443084012</v>
      </c>
      <c r="N42" s="46">
        <f>IF(G42=0,0,L42/G42*100)</f>
        <v>100.23996443084012</v>
      </c>
    </row>
    <row r="43" spans="1:14" ht="24">
      <c r="A43" s="35"/>
      <c r="B43" s="35"/>
      <c r="C43" s="35"/>
      <c r="D43" s="36" t="s">
        <v>69</v>
      </c>
      <c r="E43" s="37">
        <v>507912657</v>
      </c>
      <c r="F43" s="37">
        <v>238834022.80000001</v>
      </c>
      <c r="G43" s="37">
        <v>239304057.80000001</v>
      </c>
      <c r="H43" s="37">
        <v>239304057.80000001</v>
      </c>
      <c r="I43" s="37"/>
      <c r="J43" s="37"/>
      <c r="K43" s="37"/>
      <c r="L43" s="37">
        <v>238710425.604</v>
      </c>
      <c r="M43" s="38"/>
      <c r="N43" s="38"/>
    </row>
    <row r="44" spans="1:14">
      <c r="A44" s="39"/>
      <c r="B44" s="39"/>
      <c r="C44" s="39"/>
      <c r="D44" s="40" t="s">
        <v>70</v>
      </c>
      <c r="E44" s="41">
        <v>509406128</v>
      </c>
      <c r="F44" s="41">
        <v>247062911.69999999</v>
      </c>
      <c r="G44" s="41">
        <v>247532946.69999999</v>
      </c>
      <c r="H44" s="41">
        <v>247532946.69999999</v>
      </c>
      <c r="I44" s="41">
        <v>247532946.69999999</v>
      </c>
      <c r="J44" s="41">
        <v>246939750.89520001</v>
      </c>
      <c r="K44" s="41">
        <f>J44-L44</f>
        <v>0</v>
      </c>
      <c r="L44" s="41">
        <v>246939750.89520001</v>
      </c>
      <c r="M44" s="42">
        <f>IF(H44=0,0,L44/H44*100)</f>
        <v>99.760356828168455</v>
      </c>
      <c r="N44" s="42">
        <f>IF(G44=0,0,L44/G44*100)</f>
        <v>99.760356828168455</v>
      </c>
    </row>
    <row r="45" spans="1:14">
      <c r="A45" s="43" t="s">
        <v>34</v>
      </c>
      <c r="B45" s="43"/>
      <c r="C45" s="43"/>
      <c r="D45" s="44" t="s">
        <v>35</v>
      </c>
      <c r="E45" s="45">
        <v>1019016</v>
      </c>
      <c r="F45" s="45">
        <v>1020680</v>
      </c>
      <c r="G45" s="45">
        <v>1020680</v>
      </c>
      <c r="H45" s="45">
        <v>1020680</v>
      </c>
      <c r="I45" s="45">
        <v>1020680</v>
      </c>
      <c r="J45" s="45">
        <v>1020679.3831</v>
      </c>
      <c r="K45" s="45">
        <f>J45-L45</f>
        <v>0</v>
      </c>
      <c r="L45" s="45">
        <v>1020679.3831</v>
      </c>
      <c r="M45" s="46">
        <f>IF(H45=0,0,L45/H45*100)</f>
        <v>99.999939559901236</v>
      </c>
      <c r="N45" s="46">
        <f>IF(G45=0,0,L45/G45*100)</f>
        <v>99.999939559901236</v>
      </c>
    </row>
    <row r="46" spans="1:14">
      <c r="A46" s="43" t="s">
        <v>36</v>
      </c>
      <c r="B46" s="43"/>
      <c r="C46" s="43"/>
      <c r="D46" s="44" t="s">
        <v>37</v>
      </c>
      <c r="E46" s="45">
        <v>6700000</v>
      </c>
      <c r="F46" s="45">
        <v>6986470</v>
      </c>
      <c r="G46" s="45">
        <v>6986470</v>
      </c>
      <c r="H46" s="45">
        <v>6986470</v>
      </c>
      <c r="I46" s="45">
        <v>6986470</v>
      </c>
      <c r="J46" s="45">
        <v>6986470</v>
      </c>
      <c r="K46" s="45">
        <f>J46-L46</f>
        <v>0</v>
      </c>
      <c r="L46" s="45">
        <v>6986470</v>
      </c>
      <c r="M46" s="46">
        <f>IF(H46=0,0,L46/H46*100)</f>
        <v>100</v>
      </c>
      <c r="N46" s="46">
        <f>IF(G46=0,0,L46/G46*100)</f>
        <v>100</v>
      </c>
    </row>
    <row r="47" spans="1:14">
      <c r="A47" s="43" t="s">
        <v>40</v>
      </c>
      <c r="B47" s="43"/>
      <c r="C47" s="43"/>
      <c r="D47" s="44" t="s">
        <v>41</v>
      </c>
      <c r="E47" s="45">
        <v>0</v>
      </c>
      <c r="F47" s="45">
        <v>276360</v>
      </c>
      <c r="G47" s="45">
        <v>276360</v>
      </c>
      <c r="H47" s="45">
        <v>276360</v>
      </c>
      <c r="I47" s="45">
        <v>276360</v>
      </c>
      <c r="J47" s="45">
        <v>276360</v>
      </c>
      <c r="K47" s="45">
        <f>J47-L47</f>
        <v>0</v>
      </c>
      <c r="L47" s="45">
        <v>276360</v>
      </c>
      <c r="M47" s="46">
        <f>IF(H47=0,0,L47/H47*100)</f>
        <v>100</v>
      </c>
      <c r="N47" s="46">
        <f>IF(G47=0,0,L47/G47*100)</f>
        <v>100</v>
      </c>
    </row>
    <row r="48" spans="1:14">
      <c r="A48" s="43" t="s">
        <v>42</v>
      </c>
      <c r="B48" s="43"/>
      <c r="C48" s="43"/>
      <c r="D48" s="44" t="s">
        <v>43</v>
      </c>
      <c r="E48" s="45">
        <v>1124620</v>
      </c>
      <c r="F48" s="45">
        <v>0</v>
      </c>
      <c r="G48" s="45">
        <v>0</v>
      </c>
      <c r="H48" s="45">
        <v>0</v>
      </c>
      <c r="I48" s="45"/>
      <c r="J48" s="45"/>
      <c r="K48" s="45"/>
      <c r="L48" s="45">
        <v>0</v>
      </c>
      <c r="M48" s="46">
        <f>IF(H48=0,0,L48/H48*100)</f>
        <v>0</v>
      </c>
      <c r="N48" s="46">
        <f>IF(G48=0,0,L48/G48*100)</f>
        <v>0</v>
      </c>
    </row>
    <row r="49" spans="1:14">
      <c r="A49" s="43" t="s">
        <v>46</v>
      </c>
      <c r="B49" s="43"/>
      <c r="C49" s="43"/>
      <c r="D49" s="44" t="s">
        <v>47</v>
      </c>
      <c r="E49" s="45">
        <v>10959849</v>
      </c>
      <c r="F49" s="45">
        <v>9325782</v>
      </c>
      <c r="G49" s="45">
        <v>9797817</v>
      </c>
      <c r="H49" s="45">
        <v>9797817</v>
      </c>
      <c r="I49" s="45">
        <v>9797817</v>
      </c>
      <c r="J49" s="45">
        <v>9795426.3859999999</v>
      </c>
      <c r="K49" s="45">
        <f>J49-L49</f>
        <v>0</v>
      </c>
      <c r="L49" s="45">
        <v>9795426.3859999999</v>
      </c>
      <c r="M49" s="46">
        <f>IF(H49=0,0,L49/H49*100)</f>
        <v>99.975600544488628</v>
      </c>
      <c r="N49" s="46">
        <f>IF(G49=0,0,L49/G49*100)</f>
        <v>99.975600544488628</v>
      </c>
    </row>
    <row r="50" spans="1:14">
      <c r="A50" s="43" t="s">
        <v>48</v>
      </c>
      <c r="B50" s="43"/>
      <c r="C50" s="43"/>
      <c r="D50" s="44" t="s">
        <v>49</v>
      </c>
      <c r="E50" s="45">
        <v>92600</v>
      </c>
      <c r="F50" s="45">
        <v>0</v>
      </c>
      <c r="G50" s="45">
        <v>0</v>
      </c>
      <c r="H50" s="45">
        <v>0</v>
      </c>
      <c r="I50" s="45"/>
      <c r="J50" s="45"/>
      <c r="K50" s="45"/>
      <c r="L50" s="45">
        <v>0</v>
      </c>
      <c r="M50" s="46">
        <f>IF(H50=0,0,L50/H50*100)</f>
        <v>0</v>
      </c>
      <c r="N50" s="46">
        <f>IF(G50=0,0,L50/G50*100)</f>
        <v>0</v>
      </c>
    </row>
    <row r="51" spans="1:14">
      <c r="A51" s="43" t="s">
        <v>50</v>
      </c>
      <c r="B51" s="43"/>
      <c r="C51" s="43"/>
      <c r="D51" s="44" t="s">
        <v>51</v>
      </c>
      <c r="E51" s="45">
        <v>125635</v>
      </c>
      <c r="F51" s="45">
        <v>125635</v>
      </c>
      <c r="G51" s="45">
        <v>125635</v>
      </c>
      <c r="H51" s="45">
        <v>125635</v>
      </c>
      <c r="I51" s="45">
        <v>125635</v>
      </c>
      <c r="J51" s="45">
        <v>125635</v>
      </c>
      <c r="K51" s="45">
        <f>J51-L51</f>
        <v>0</v>
      </c>
      <c r="L51" s="45">
        <v>125635</v>
      </c>
      <c r="M51" s="46">
        <f>IF(H51=0,0,L51/H51*100)</f>
        <v>100</v>
      </c>
      <c r="N51" s="46">
        <f>IF(G51=0,0,L51/G51*100)</f>
        <v>100</v>
      </c>
    </row>
    <row r="52" spans="1:14">
      <c r="A52" s="43" t="s">
        <v>56</v>
      </c>
      <c r="B52" s="43"/>
      <c r="C52" s="43"/>
      <c r="D52" s="44" t="s">
        <v>57</v>
      </c>
      <c r="E52" s="45">
        <v>68102290</v>
      </c>
      <c r="F52" s="45">
        <v>33826439</v>
      </c>
      <c r="G52" s="45">
        <v>37528189</v>
      </c>
      <c r="H52" s="45">
        <v>37528189</v>
      </c>
      <c r="I52" s="45">
        <v>37528189</v>
      </c>
      <c r="J52" s="45">
        <v>37100664.423600003</v>
      </c>
      <c r="K52" s="45">
        <f>J52-L52</f>
        <v>0</v>
      </c>
      <c r="L52" s="45">
        <v>37100664.423600003</v>
      </c>
      <c r="M52" s="46">
        <f>IF(H52=0,0,L52/H52*100)</f>
        <v>98.860790814073127</v>
      </c>
      <c r="N52" s="46">
        <f>IF(G52=0,0,L52/G52*100)</f>
        <v>98.860790814073127</v>
      </c>
    </row>
    <row r="53" spans="1:14">
      <c r="A53" s="43" t="s">
        <v>58</v>
      </c>
      <c r="B53" s="43"/>
      <c r="C53" s="43"/>
      <c r="D53" s="44" t="s">
        <v>59</v>
      </c>
      <c r="E53" s="45">
        <v>421282118</v>
      </c>
      <c r="F53" s="45">
        <v>195501545.69999999</v>
      </c>
      <c r="G53" s="45">
        <v>191797795.69999999</v>
      </c>
      <c r="H53" s="45">
        <v>191797795.69999999</v>
      </c>
      <c r="I53" s="45">
        <v>191797795.69999999</v>
      </c>
      <c r="J53" s="45">
        <v>191634515.70249999</v>
      </c>
      <c r="K53" s="45">
        <f>J53-L53</f>
        <v>0</v>
      </c>
      <c r="L53" s="45">
        <v>191634515.70249999</v>
      </c>
      <c r="M53" s="46">
        <f>IF(H53=0,0,L53/H53*100)</f>
        <v>99.914868678806201</v>
      </c>
      <c r="N53" s="46">
        <f>IF(G53=0,0,L53/G53*100)</f>
        <v>99.914868678806201</v>
      </c>
    </row>
    <row r="54" spans="1:14" ht="21">
      <c r="A54" s="39"/>
      <c r="B54" s="39"/>
      <c r="C54" s="39"/>
      <c r="D54" s="40" t="s">
        <v>71</v>
      </c>
      <c r="E54" s="41">
        <v>1493471</v>
      </c>
      <c r="F54" s="41">
        <v>8228888.9000000004</v>
      </c>
      <c r="G54" s="41">
        <v>8228888.9000000004</v>
      </c>
      <c r="H54" s="41">
        <v>8228888.9000000004</v>
      </c>
      <c r="I54" s="41"/>
      <c r="J54" s="41"/>
      <c r="K54" s="41"/>
      <c r="L54" s="41">
        <v>8229325.2914000005</v>
      </c>
      <c r="M54" s="42">
        <f>IF(H54=0,0,L54/H54*100)</f>
        <v>100.00530316310383</v>
      </c>
      <c r="N54" s="42">
        <f>IF(G54=0,0,L54/G54*100)</f>
        <v>100.00530316310383</v>
      </c>
    </row>
    <row r="55" spans="1:14">
      <c r="A55" s="43" t="s">
        <v>72</v>
      </c>
      <c r="B55" s="43"/>
      <c r="C55" s="43"/>
      <c r="D55" s="44" t="s">
        <v>73</v>
      </c>
      <c r="E55" s="45">
        <v>1493471</v>
      </c>
      <c r="F55" s="45">
        <v>8228888.9000000004</v>
      </c>
      <c r="G55" s="45">
        <v>8228888.9000000004</v>
      </c>
      <c r="H55" s="45">
        <v>8228888.9000000004</v>
      </c>
      <c r="I55" s="45"/>
      <c r="J55" s="45"/>
      <c r="K55" s="45"/>
      <c r="L55" s="45">
        <v>8229325.2914000005</v>
      </c>
      <c r="M55" s="46">
        <f>IF(H55=0,0,L55/H55*100)</f>
        <v>100.00530316310383</v>
      </c>
      <c r="N55" s="46">
        <f>IF(G55=0,0,L55/G55*100)</f>
        <v>100.00530316310383</v>
      </c>
    </row>
    <row r="56" spans="1:14" ht="12">
      <c r="A56" s="35"/>
      <c r="B56" s="35"/>
      <c r="C56" s="35"/>
      <c r="D56" s="36" t="s">
        <v>74</v>
      </c>
      <c r="E56" s="37">
        <v>-734329693</v>
      </c>
      <c r="F56" s="37">
        <v>-1414493822.698</v>
      </c>
      <c r="G56" s="37">
        <v>-1348188584</v>
      </c>
      <c r="H56" s="37">
        <v>-1348188584</v>
      </c>
      <c r="I56" s="37"/>
      <c r="J56" s="37"/>
      <c r="K56" s="37"/>
      <c r="L56" s="37">
        <v>-915704809.32799995</v>
      </c>
      <c r="M56" s="38"/>
      <c r="N56" s="38"/>
    </row>
    <row r="57" spans="1:14" ht="24">
      <c r="A57" s="35"/>
      <c r="B57" s="35"/>
      <c r="C57" s="35"/>
      <c r="D57" s="36" t="s">
        <v>75</v>
      </c>
      <c r="E57" s="37">
        <v>734329693</v>
      </c>
      <c r="F57" s="37">
        <v>1414493822.698</v>
      </c>
      <c r="G57" s="37">
        <v>1348188584</v>
      </c>
      <c r="H57" s="37">
        <v>1348188584</v>
      </c>
      <c r="I57" s="37"/>
      <c r="J57" s="37"/>
      <c r="K57" s="37"/>
      <c r="L57" s="37">
        <v>915704809.32799995</v>
      </c>
      <c r="M57" s="38"/>
      <c r="N57" s="38"/>
    </row>
    <row r="58" spans="1:14">
      <c r="A58" s="39"/>
      <c r="B58" s="39"/>
      <c r="C58" s="39"/>
      <c r="D58" s="40" t="s">
        <v>76</v>
      </c>
      <c r="E58" s="41">
        <v>1291699175</v>
      </c>
      <c r="F58" s="41">
        <v>1562421252</v>
      </c>
      <c r="G58" s="41">
        <v>1562421252</v>
      </c>
      <c r="H58" s="41">
        <v>1562421252</v>
      </c>
      <c r="I58" s="41"/>
      <c r="J58" s="41"/>
      <c r="K58" s="41"/>
      <c r="L58" s="41">
        <v>1479442261.6136999</v>
      </c>
      <c r="M58" s="42">
        <f>IF(H58=0,0,L58/H58*100)</f>
        <v>94.689076951553133</v>
      </c>
      <c r="N58" s="42">
        <f>IF(G58=0,0,L58/G58*100)</f>
        <v>94.689076951553133</v>
      </c>
    </row>
    <row r="59" spans="1:14">
      <c r="A59" s="43" t="s">
        <v>77</v>
      </c>
      <c r="B59" s="43"/>
      <c r="C59" s="43"/>
      <c r="D59" s="44" t="s">
        <v>78</v>
      </c>
      <c r="E59" s="45">
        <v>1291699175</v>
      </c>
      <c r="F59" s="45">
        <v>1562421252</v>
      </c>
      <c r="G59" s="45">
        <v>1562421252</v>
      </c>
      <c r="H59" s="45">
        <v>1562421252</v>
      </c>
      <c r="I59" s="45"/>
      <c r="J59" s="45"/>
      <c r="K59" s="45"/>
      <c r="L59" s="45">
        <v>1479442261.6136999</v>
      </c>
      <c r="M59" s="46">
        <f>IF(H59=0,0,L59/H59*100)</f>
        <v>94.689076951553133</v>
      </c>
      <c r="N59" s="46">
        <f>IF(G59=0,0,L59/G59*100)</f>
        <v>94.689076951553133</v>
      </c>
    </row>
    <row r="60" spans="1:14">
      <c r="A60" s="39"/>
      <c r="B60" s="39"/>
      <c r="C60" s="39"/>
      <c r="D60" s="40" t="s">
        <v>79</v>
      </c>
      <c r="E60" s="41">
        <v>294602158</v>
      </c>
      <c r="F60" s="41">
        <v>318941367</v>
      </c>
      <c r="G60" s="41">
        <v>318941367</v>
      </c>
      <c r="H60" s="41">
        <v>318941367</v>
      </c>
      <c r="I60" s="41">
        <v>318941367</v>
      </c>
      <c r="J60" s="41">
        <v>318910560.64300001</v>
      </c>
      <c r="K60" s="41">
        <f>J60-L60</f>
        <v>0</v>
      </c>
      <c r="L60" s="41">
        <v>318910560.64300001</v>
      </c>
      <c r="M60" s="42">
        <f>IF(H60=0,0,L60/H60*100)</f>
        <v>99.990341059458743</v>
      </c>
      <c r="N60" s="42">
        <f>IF(G60=0,0,L60/G60*100)</f>
        <v>99.990341059458743</v>
      </c>
    </row>
    <row r="61" spans="1:14">
      <c r="A61" s="43" t="s">
        <v>80</v>
      </c>
      <c r="B61" s="43"/>
      <c r="C61" s="43"/>
      <c r="D61" s="44" t="s">
        <v>81</v>
      </c>
      <c r="E61" s="45">
        <v>294602158</v>
      </c>
      <c r="F61" s="45">
        <v>318941367</v>
      </c>
      <c r="G61" s="45">
        <v>318941367</v>
      </c>
      <c r="H61" s="45">
        <v>318941367</v>
      </c>
      <c r="I61" s="45">
        <v>318941367</v>
      </c>
      <c r="J61" s="45">
        <v>318910560.64300001</v>
      </c>
      <c r="K61" s="45">
        <f>J61-L61</f>
        <v>0</v>
      </c>
      <c r="L61" s="45">
        <v>318910560.64300001</v>
      </c>
      <c r="M61" s="46">
        <f>IF(H61=0,0,L61/H61*100)</f>
        <v>99.990341059458743</v>
      </c>
      <c r="N61" s="46">
        <f>IF(G61=0,0,L61/G61*100)</f>
        <v>99.990341059458743</v>
      </c>
    </row>
    <row r="62" spans="1:14">
      <c r="A62" s="39"/>
      <c r="B62" s="39"/>
      <c r="C62" s="39"/>
      <c r="D62" s="40" t="s">
        <v>82</v>
      </c>
      <c r="E62" s="41">
        <v>-262767324</v>
      </c>
      <c r="F62" s="41">
        <v>171013937.69800001</v>
      </c>
      <c r="G62" s="41">
        <v>104708699</v>
      </c>
      <c r="H62" s="41">
        <v>104708699</v>
      </c>
      <c r="I62" s="41"/>
      <c r="J62" s="41"/>
      <c r="K62" s="41"/>
      <c r="L62" s="41">
        <v>-244826891.64300001</v>
      </c>
      <c r="M62" s="42"/>
      <c r="N62" s="42"/>
    </row>
    <row r="63" spans="1:14" ht="24">
      <c r="A63" s="35"/>
      <c r="B63" s="35"/>
      <c r="C63" s="35"/>
      <c r="D63" s="36" t="s">
        <v>83</v>
      </c>
      <c r="E63" s="37"/>
      <c r="F63" s="37"/>
      <c r="G63" s="37"/>
      <c r="H63" s="37"/>
      <c r="I63" s="37"/>
      <c r="J63" s="37"/>
      <c r="K63" s="37"/>
      <c r="L63" s="37"/>
      <c r="M63" s="38"/>
      <c r="N63" s="38"/>
    </row>
    <row r="64" spans="1:14">
      <c r="A64" s="39"/>
      <c r="B64" s="39"/>
      <c r="C64" s="39"/>
      <c r="D64" s="40" t="s">
        <v>84</v>
      </c>
      <c r="E64" s="41"/>
      <c r="F64" s="41"/>
      <c r="G64" s="41"/>
      <c r="H64" s="41"/>
      <c r="I64" s="41"/>
      <c r="J64" s="41"/>
      <c r="K64" s="41"/>
      <c r="L64" s="41">
        <v>112950260.6517</v>
      </c>
      <c r="M64" s="42"/>
      <c r="N64" s="42"/>
    </row>
    <row r="65" spans="1:14">
      <c r="A65" s="39"/>
      <c r="B65" s="39"/>
      <c r="C65" s="39"/>
      <c r="D65" s="40" t="s">
        <v>85</v>
      </c>
      <c r="E65" s="41"/>
      <c r="F65" s="41"/>
      <c r="G65" s="41"/>
      <c r="H65" s="41"/>
      <c r="I65" s="41"/>
      <c r="J65" s="41"/>
      <c r="K65" s="41"/>
      <c r="L65" s="41">
        <v>357777152.29500002</v>
      </c>
      <c r="M65" s="42"/>
      <c r="N65" s="42"/>
    </row>
    <row r="69" spans="1:14" ht="12">
      <c r="A69" s="47"/>
      <c r="B69" s="48"/>
      <c r="C69" s="48"/>
      <c r="D69" s="49"/>
      <c r="E69" s="49"/>
      <c r="F69" s="49"/>
      <c r="G69" s="49"/>
      <c r="H69" s="49"/>
      <c r="I69" s="49"/>
      <c r="J69" s="49"/>
      <c r="K69" s="49"/>
    </row>
  </sheetData>
  <mergeCells count="12">
    <mergeCell ref="J7:J8"/>
    <mergeCell ref="K7:K8"/>
    <mergeCell ref="L7:L8"/>
    <mergeCell ref="N7:N8"/>
    <mergeCell ref="M7:M8"/>
    <mergeCell ref="A9:C9"/>
    <mergeCell ref="A7:C8"/>
    <mergeCell ref="G7:G8"/>
    <mergeCell ref="D7:D8"/>
    <mergeCell ref="E7:E8"/>
    <mergeCell ref="F7:F8"/>
    <mergeCell ref="H7:I7"/>
  </mergeCells>
  <phoneticPr fontId="0" type="noConversion"/>
  <printOptions horizontalCentered="1"/>
  <pageMargins left="0.19685039370078741" right="0.19685039370078741" top="0.78740157480314965" bottom="0.35433070866141736" header="0.39370078740157483" footer="0.19685039370078741"/>
  <pageSetup paperSize="9" scale="74" fitToHeight="0" orientation="landscape" useFirstPageNumber="1" r:id="rId1"/>
  <headerFooter alignWithMargins="0"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Отчет</vt:lpstr>
      <vt:lpstr>Отчет!Заголовки_для_печати</vt:lpstr>
    </vt:vector>
  </TitlesOfParts>
  <Company>RR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MMussabekov</cp:lastModifiedBy>
  <cp:lastPrinted>2016-02-12T11:17:42Z</cp:lastPrinted>
  <dcterms:created xsi:type="dcterms:W3CDTF">2003-05-20T10:03:43Z</dcterms:created>
  <dcterms:modified xsi:type="dcterms:W3CDTF">2016-02-12T11:18:09Z</dcterms:modified>
</cp:coreProperties>
</file>